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aS_IAM_DMS" sheetId="2" state="visible" r:id="rId2"/>
    <sheet xmlns:r="http://schemas.openxmlformats.org/officeDocument/2006/relationships" name="Workflow_Gatekeeper" sheetId="3" state="visible" r:id="rId3"/>
    <sheet xmlns:r="http://schemas.openxmlformats.org/officeDocument/2006/relationships" name="Sourcing_MagicLink" sheetId="4" state="visible" r:id="rId4"/>
    <sheet xmlns:r="http://schemas.openxmlformats.org/officeDocument/2006/relationships" name="Bidding_Tasks" sheetId="5" state="visible" r:id="rId5"/>
    <sheet xmlns:r="http://schemas.openxmlformats.org/officeDocument/2006/relationships" name="Logistics_Analy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  <xf numFmtId="0" fontId="2" fillId="3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7" customWidth="1" min="9" max="9"/>
  </cols>
  <sheetData>
    <row r="1"/>
    <row r="2">
      <c r="A2" s="1" t="inlineStr">
        <is>
          <t>BẢNG ĐIỀU KHIỂN TỔNG HỢP KẾT QUẢ NGHIỆM THU NGƯỜI DÙNG (UAT DASHBOARD)</t>
        </is>
      </c>
    </row>
    <row r="3"/>
    <row r="4"/>
    <row r="5">
      <c r="A5" s="2" t="inlineStr">
        <is>
          <t>STT</t>
        </is>
      </c>
      <c r="B5" s="2" t="inlineStr">
        <is>
          <t>Phân hệ kiểm thử</t>
        </is>
      </c>
      <c r="C5" s="2" t="inlineStr">
        <is>
          <t>Sheet chi tiết</t>
        </is>
      </c>
      <c r="D5" s="2" t="inlineStr">
        <is>
          <t>Số TC Đạt (P)</t>
        </is>
      </c>
      <c r="E5" s="2" t="inlineStr">
        <is>
          <t>Số TC Không Đạt (F)</t>
        </is>
      </c>
      <c r="F5" s="2" t="inlineStr">
        <is>
          <t>Số TC Đang xem xét (PE)</t>
        </is>
      </c>
      <c r="G5" s="2" t="inlineStr">
        <is>
          <t>Số TC Chưa làm</t>
        </is>
      </c>
      <c r="H5" s="2" t="inlineStr">
        <is>
          <t>Tổng TC</t>
        </is>
      </c>
      <c r="I5" s="2" t="inlineStr">
        <is>
          <t>Tỷ lệ Đạt (%)</t>
        </is>
      </c>
    </row>
    <row r="6">
      <c r="A6" s="3" t="n">
        <v>1</v>
      </c>
      <c r="B6" s="4" t="inlineStr">
        <is>
          <t>Phân hệ 1: SaaS Multi-tenant, IAM &amp; Kho Tài liệu Số DMS</t>
        </is>
      </c>
      <c r="C6" s="3" t="inlineStr">
        <is>
          <t>SaaS_IAM_DMS</t>
        </is>
      </c>
      <c r="D6" s="3">
        <f>'SaaS_IAM_DMS'!F4</f>
        <v/>
      </c>
      <c r="E6" s="3">
        <f>'SaaS_IAM_DMS'!F5</f>
        <v/>
      </c>
      <c r="F6" s="3">
        <f>'SaaS_IAM_DMS'!F6</f>
        <v/>
      </c>
      <c r="G6" s="3">
        <f>'SaaS_IAM_DMS'!F7</f>
        <v/>
      </c>
      <c r="H6" s="3">
        <f>'SaaS_IAM_DMS'!F8</f>
        <v/>
      </c>
      <c r="I6" s="5">
        <f>ROUND((D6/H6)*100, 2)</f>
        <v/>
      </c>
    </row>
    <row r="7">
      <c r="A7" s="3" t="n">
        <v>2</v>
      </c>
      <c r="B7" s="4" t="inlineStr">
        <is>
          <t>Phân hệ 2: Workflow Engine &amp; Chốt chặn Transition Gatekeeper</t>
        </is>
      </c>
      <c r="C7" s="3" t="inlineStr">
        <is>
          <t>Workflow_Gatekeeper</t>
        </is>
      </c>
      <c r="D7" s="3">
        <f>'Workflow_Gatekeeper'!F4</f>
        <v/>
      </c>
      <c r="E7" s="3">
        <f>'Workflow_Gatekeeper'!F5</f>
        <v/>
      </c>
      <c r="F7" s="3">
        <f>'Workflow_Gatekeeper'!F6</f>
        <v/>
      </c>
      <c r="G7" s="3">
        <f>'Workflow_Gatekeeper'!F7</f>
        <v/>
      </c>
      <c r="H7" s="3">
        <f>'Workflow_Gatekeeper'!F8</f>
        <v/>
      </c>
      <c r="I7" s="5">
        <f>ROUND((D7/H7)*100, 2)</f>
        <v/>
      </c>
    </row>
    <row r="8">
      <c r="A8" s="3" t="n">
        <v>3</v>
      </c>
      <c r="B8" s="4" t="inlineStr">
        <is>
          <t>Phân hệ 3: Mua hàng, Báo giá &amp; Cổng Không chạm Magic Link</t>
        </is>
      </c>
      <c r="C8" s="3" t="inlineStr">
        <is>
          <t>Sourcing_MagicLink</t>
        </is>
      </c>
      <c r="D8" s="3">
        <f>'Sourcing_MagicLink'!F4</f>
        <v/>
      </c>
      <c r="E8" s="3">
        <f>'Sourcing_MagicLink'!F5</f>
        <v/>
      </c>
      <c r="F8" s="3">
        <f>'Sourcing_MagicLink'!F6</f>
        <v/>
      </c>
      <c r="G8" s="3">
        <f>'Sourcing_MagicLink'!F7</f>
        <v/>
      </c>
      <c r="H8" s="3">
        <f>'Sourcing_MagicLink'!F8</f>
        <v/>
      </c>
      <c r="I8" s="5">
        <f>ROUND((D8/H8)*100, 2)</f>
        <v/>
      </c>
    </row>
    <row r="9">
      <c r="A9" s="3" t="n">
        <v>4</v>
      </c>
      <c r="B9" s="4" t="inlineStr">
        <is>
          <t>Phân hệ 4: Quản trị Công việc Vi mô &amp; Hồ sơ Dự thầu</t>
        </is>
      </c>
      <c r="C9" s="3" t="inlineStr">
        <is>
          <t>Bidding_Tasks</t>
        </is>
      </c>
      <c r="D9" s="3">
        <f>'Bidding_Tasks'!F4</f>
        <v/>
      </c>
      <c r="E9" s="3">
        <f>'Bidding_Tasks'!F5</f>
        <v/>
      </c>
      <c r="F9" s="3">
        <f>'Bidding_Tasks'!F6</f>
        <v/>
      </c>
      <c r="G9" s="3">
        <f>'Bidding_Tasks'!F7</f>
        <v/>
      </c>
      <c r="H9" s="3">
        <f>'Bidding_Tasks'!F8</f>
        <v/>
      </c>
      <c r="I9" s="5">
        <f>ROUND((D9/H9)*100, 2)</f>
        <v/>
      </c>
    </row>
    <row r="10">
      <c r="A10" s="3" t="n">
        <v>5</v>
      </c>
      <c r="B10" s="4" t="inlineStr">
        <is>
          <t>Phân hệ 5: Theo dõi Lô hàng Logistics &amp; Báo cáo Phân tích BI</t>
        </is>
      </c>
      <c r="C10" s="3" t="inlineStr">
        <is>
          <t>Logistics_Analytics</t>
        </is>
      </c>
      <c r="D10" s="3">
        <f>'Logistics_Analytics'!F4</f>
        <v/>
      </c>
      <c r="E10" s="3">
        <f>'Logistics_Analytics'!F5</f>
        <v/>
      </c>
      <c r="F10" s="3">
        <f>'Logistics_Analytics'!F6</f>
        <v/>
      </c>
      <c r="G10" s="3">
        <f>'Logistics_Analytics'!F7</f>
        <v/>
      </c>
      <c r="H10" s="3">
        <f>'Logistics_Analytics'!F8</f>
        <v/>
      </c>
      <c r="I10" s="5">
        <f>ROUND((D10/H10)*100, 2)</f>
        <v/>
      </c>
    </row>
    <row r="11">
      <c r="B11" s="6" t="inlineStr">
        <is>
          <t>TỔNG HỢP TOÀN DỰ ÁN MIBID:</t>
        </is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ROUND((D11/H11)*100, 2)</f>
        <v/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31" customWidth="1" min="4" max="4"/>
    <col width="50" customWidth="1" min="5" max="5"/>
    <col width="50" customWidth="1" min="6" max="6"/>
    <col width="50" customWidth="1" min="7" max="7"/>
    <col width="50" customWidth="1" min="8" max="8"/>
    <col width="13" customWidth="1" min="9" max="9"/>
    <col width="10" customWidth="1" min="10" max="10"/>
  </cols>
  <sheetData>
    <row r="1"/>
    <row r="2">
      <c r="A2" s="8" t="inlineStr">
        <is>
          <t>KỊCH BẢN KIỂM THỬ NGHIỆM THU NGƯỜI DÙNG (UAT TEST CASES)</t>
        </is>
      </c>
      <c r="E2" s="9" t="inlineStr">
        <is>
          <t>Phân hệ kiểm thử:</t>
        </is>
      </c>
      <c r="F2" s="8" t="inlineStr">
        <is>
          <t>Phân hệ 1: SaaS Multi-tenant, IAM &amp; Kho Tài liệu Số DMS</t>
        </is>
      </c>
    </row>
    <row r="3"/>
    <row r="4">
      <c r="E4" s="10" t="inlineStr">
        <is>
          <t>Số TC đạt (P):</t>
        </is>
      </c>
      <c r="F4" s="7">
        <f>COUNTIF(J11:J17,"P")</f>
        <v/>
      </c>
    </row>
    <row r="5">
      <c r="E5" s="10" t="inlineStr">
        <is>
          <t>Số TC không đạt (F):</t>
        </is>
      </c>
      <c r="F5" s="7">
        <f>COUNTIF(J11:J17,"F")</f>
        <v/>
      </c>
    </row>
    <row r="6">
      <c r="E6" s="10" t="inlineStr">
        <is>
          <t>Số TC đang xem xét (PE):</t>
        </is>
      </c>
      <c r="F6" s="7">
        <f>COUNTIF(J11:J17,"PE")</f>
        <v/>
      </c>
    </row>
    <row r="7">
      <c r="E7" s="10" t="inlineStr">
        <is>
          <t>Số TC chưa thực hiện:</t>
        </is>
      </c>
      <c r="F7" s="7">
        <f>COUNTBLANK(J11:J17)</f>
        <v/>
      </c>
    </row>
    <row r="8">
      <c r="E8" s="10" t="inlineStr">
        <is>
          <t>Tổng số test cases:</t>
        </is>
      </c>
      <c r="F8" s="7">
        <f>COUNTA(B11:B17)</f>
        <v/>
      </c>
    </row>
    <row r="9"/>
    <row r="10">
      <c r="A10" s="2" t="inlineStr">
        <is>
          <t>STT</t>
        </is>
      </c>
      <c r="B10" s="2" t="inlineStr">
        <is>
          <t>Mã chức năng</t>
        </is>
      </c>
      <c r="C10" s="2" t="inlineStr">
        <is>
          <t>Tên kịch bản kiểm thử</t>
        </is>
      </c>
      <c r="D10" s="2" t="inlineStr">
        <is>
          <t>Điều kiện tiên quyết</t>
        </is>
      </c>
      <c r="E10" s="2" t="inlineStr">
        <is>
          <t>Các bước thực hiện</t>
        </is>
      </c>
      <c r="F10" s="2" t="inlineStr">
        <is>
          <t>Dữ liệu đầu vào</t>
        </is>
      </c>
      <c r="G10" s="2" t="inlineStr">
        <is>
          <t>Kết quả mong muốn</t>
        </is>
      </c>
      <c r="H10" s="2" t="inlineStr">
        <is>
          <t>Kết quả thực tế</t>
        </is>
      </c>
      <c r="I10" s="2" t="inlineStr">
        <is>
          <t>Trạng thái</t>
        </is>
      </c>
      <c r="J10" s="2" t="inlineStr">
        <is>
          <t>Ghi chú</t>
        </is>
      </c>
    </row>
    <row r="11">
      <c r="A11" s="3" t="n">
        <v>1</v>
      </c>
      <c r="B11" s="3" t="inlineStr">
        <is>
          <t>F-1.1</t>
        </is>
      </c>
      <c r="C11" s="4" t="inlineStr">
        <is>
          <t>Khởi tạo doanh nghiệp khách thuê mới hợp lệ</t>
        </is>
      </c>
      <c r="D11" s="11" t="inlineStr">
        <is>
          <t>Đăng nhập quyền System Admin</t>
        </is>
      </c>
      <c r="E11" s="11" t="inlineStr">
        <is>
          <t>Nhập tên công ty, tên miền định danh 'hoanggia', chọn gói Enterprise và bấm Lưu</t>
        </is>
      </c>
      <c r="F11" s="11" t="inlineStr">
        <is>
          <t>Dữ liệu mẫu Mibid</t>
        </is>
      </c>
      <c r="G11" s="11" t="inlineStr">
        <is>
          <t>Tạo mới thành công bản ghi tenant, gán gói cước và kích hoạt trạng thái ACTIVE</t>
        </is>
      </c>
      <c r="H11" s="11" t="inlineStr">
        <is>
          <t>Tạo mới thành công bản ghi tenant, gán gói cước và kích hoạt trạng thái ACTIVE</t>
        </is>
      </c>
      <c r="I11" s="12" t="inlineStr">
        <is>
          <t>P</t>
        </is>
      </c>
      <c r="J11" s="11" t="inlineStr"/>
    </row>
    <row r="12">
      <c r="A12" s="3" t="n">
        <v>2</v>
      </c>
      <c r="B12" s="3" t="inlineStr">
        <is>
          <t>F-1.1</t>
        </is>
      </c>
      <c r="C12" s="4" t="inlineStr">
        <is>
          <t>Báo lỗi khi trùng lặp tên miền định danh tenant</t>
        </is>
      </c>
      <c r="D12" s="11" t="inlineStr">
        <is>
          <t>Đã có tenant 'hoanggia'</t>
        </is>
      </c>
      <c r="E12" s="11" t="inlineStr">
        <is>
          <t>Nhập lại tên miền 'hoanggia' cho công ty thứ 2</t>
        </is>
      </c>
      <c r="F12" s="11" t="inlineStr">
        <is>
          <t>Dữ liệu mẫu Mibid</t>
        </is>
      </c>
      <c r="G12" s="11" t="inlineStr">
        <is>
          <t>Hệ thống báo lỗi 409 Conflict: 'Tên miền đã được sử dụng'</t>
        </is>
      </c>
      <c r="H12" s="11" t="inlineStr">
        <is>
          <t>Hệ thống báo lỗi 409 Conflict: 'Tên miền đã được sử dụng'</t>
        </is>
      </c>
      <c r="I12" s="12" t="inlineStr">
        <is>
          <t>P</t>
        </is>
      </c>
      <c r="J12" s="11" t="inlineStr"/>
    </row>
    <row r="13">
      <c r="A13" s="3" t="n">
        <v>3</v>
      </c>
      <c r="B13" s="3" t="inlineStr">
        <is>
          <t>F-1.2</t>
        </is>
      </c>
      <c r="C13" s="4" t="inlineStr">
        <is>
          <t>Thêm nhân sự mới và gán vai trò toàn cục</t>
        </is>
      </c>
      <c r="D13" s="11" t="inlineStr">
        <is>
          <t>Tài khoản Manager đăng nhập</t>
        </is>
      </c>
      <c r="E13" s="11" t="inlineStr">
        <is>
          <t>Nhập email 'purchaser@hoanggia.vn', chọn vai trò Staff và bấm Tạo</t>
        </is>
      </c>
      <c r="F13" s="11" t="inlineStr">
        <is>
          <t>Dữ liệu mẫu Mibid</t>
        </is>
      </c>
      <c r="G13" s="11" t="inlineStr">
        <is>
          <t>Lưu người dùng mới, tự động gửi email kích hoạt và tạo mật khẩu</t>
        </is>
      </c>
      <c r="H13" s="11" t="inlineStr">
        <is>
          <t>Lưu người dùng mới, tự động gửi email kích hoạt và tạo mật khẩu</t>
        </is>
      </c>
      <c r="I13" s="12" t="inlineStr">
        <is>
          <t>P</t>
        </is>
      </c>
      <c r="J13" s="11" t="inlineStr"/>
    </row>
    <row r="14">
      <c r="A14" s="3" t="n">
        <v>4</v>
      </c>
      <c r="B14" s="3" t="inlineStr">
        <is>
          <t>F-1.2</t>
        </is>
      </c>
      <c r="C14" s="4" t="inlineStr">
        <is>
          <t>Tự động khóa tài khoản khi nhập sai mật khẩu 5 lần</t>
        </is>
      </c>
      <c r="D14" s="11" t="inlineStr">
        <is>
          <t>Tài khoản nhân viên</t>
        </is>
      </c>
      <c r="E14" s="11" t="inlineStr">
        <is>
          <t>Nhập sai mật khẩu 5 lần liên tiếp</t>
        </is>
      </c>
      <c r="F14" s="11" t="inlineStr">
        <is>
          <t>Dữ liệu mẫu Mibid</t>
        </is>
      </c>
      <c r="G14" s="11" t="inlineStr">
        <is>
          <t>Tài khoản chuyển sang trạng thái tạm khóa trong 15 phút, báo lỗi 403</t>
        </is>
      </c>
      <c r="H14" s="11" t="inlineStr">
        <is>
          <t>Tài khoản chuyển sang trạng thái tạm khóa trong 15 phút, báo lỗi 403</t>
        </is>
      </c>
      <c r="I14" s="12" t="inlineStr">
        <is>
          <t>P</t>
        </is>
      </c>
      <c r="J14" s="11" t="inlineStr"/>
    </row>
    <row r="15">
      <c r="A15" s="3" t="n">
        <v>5</v>
      </c>
      <c r="B15" s="3" t="inlineStr">
        <is>
          <t>F-1.3</t>
        </is>
      </c>
      <c r="C15" s="4" t="inlineStr">
        <is>
          <t>Tải tệp chứng từ lên kho DMS qua S3 Pre-signed URL</t>
        </is>
      </c>
      <c r="D15" s="11" t="inlineStr">
        <is>
          <t>Đã tạo dự án</t>
        </is>
      </c>
      <c r="E15" s="11" t="inlineStr">
        <is>
          <t>Kéo thả file PDF Giấy phép kinh doanh (4.2 MB) vào vùng upload</t>
        </is>
      </c>
      <c r="F15" s="11" t="inlineStr">
        <is>
          <t>Dữ liệu mẫu Mibid</t>
        </is>
      </c>
      <c r="G15" s="11" t="inlineStr">
        <is>
          <t>Nhận Pre-signed URL từ backend, tải trực tiếp lên S3 trong 1.2s và lưu bản ghi PENDING</t>
        </is>
      </c>
      <c r="H15" s="11" t="inlineStr">
        <is>
          <t>Nhận Pre-signed URL từ backend, tải trực tiếp lên S3 trong 1.2s và lưu bản ghi PENDING</t>
        </is>
      </c>
      <c r="I15" s="12" t="inlineStr">
        <is>
          <t>P</t>
        </is>
      </c>
      <c r="J15" s="11" t="inlineStr"/>
    </row>
    <row r="16">
      <c r="A16" s="3" t="n">
        <v>6</v>
      </c>
      <c r="B16" s="3" t="inlineStr">
        <is>
          <t>F-1.4</t>
        </is>
      </c>
      <c r="C16" s="4" t="inlineStr">
        <is>
          <t>Cấp quản lý phê duyệt chứng từ hợp lệ</t>
        </is>
      </c>
      <c r="D16" s="11" t="inlineStr">
        <is>
          <t>Có file trạng thái PENDING</t>
        </is>
      </c>
      <c r="E16" s="11" t="inlineStr">
        <is>
          <t>Manager mở xem trước PDF và bấm 'Phê duyệt'</t>
        </is>
      </c>
      <c r="F16" s="11" t="inlineStr">
        <is>
          <t>Dữ liệu mẫu Mibid</t>
        </is>
      </c>
      <c r="G16" s="11" t="inlineStr">
        <is>
          <t>Tài liệu chuyển trạng thái APPROVED, ghi nhận audit log và tên người duyệt</t>
        </is>
      </c>
      <c r="H16" s="11" t="inlineStr">
        <is>
          <t>Tài liệu chuyển trạng thái APPROVED, ghi nhận audit log và tên người duyệt</t>
        </is>
      </c>
      <c r="I16" s="12" t="inlineStr">
        <is>
          <t>P</t>
        </is>
      </c>
      <c r="J16" s="11" t="inlineStr"/>
    </row>
    <row r="17">
      <c r="A17" s="3" t="n">
        <v>7</v>
      </c>
      <c r="B17" s="3" t="inlineStr">
        <is>
          <t>F-1.4</t>
        </is>
      </c>
      <c r="C17" s="4" t="inlineStr">
        <is>
          <t>Từ chối chứng từ bắt buộc phải nhập lý do</t>
        </is>
      </c>
      <c r="D17" s="11" t="inlineStr">
        <is>
          <t>Có file trạng thái PENDING</t>
        </is>
      </c>
      <c r="E17" s="11" t="inlineStr">
        <is>
          <t>Bấm 'Từ chối' nhưng để trống ô lý do</t>
        </is>
      </c>
      <c r="F17" s="11" t="inlineStr">
        <is>
          <t>Dữ liệu mẫu Mibid</t>
        </is>
      </c>
      <c r="G17" s="11" t="inlineStr">
        <is>
          <t>Hệ thống chặn không cho gửi, hiển thị thông báo 'Bắt buộc nhập lý do từ chối'</t>
        </is>
      </c>
      <c r="H17" s="11" t="inlineStr">
        <is>
          <t>Hệ thống chặn không cho gửi, hiển thị thông báo 'Bắt buộc nhập lý do từ chối'</t>
        </is>
      </c>
      <c r="I17" s="12" t="inlineStr">
        <is>
          <t>P</t>
        </is>
      </c>
      <c r="J17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3" customWidth="1" min="4" max="4"/>
    <col width="50" customWidth="1" min="5" max="5"/>
    <col width="50" customWidth="1" min="6" max="6"/>
    <col width="50" customWidth="1" min="7" max="7"/>
    <col width="50" customWidth="1" min="8" max="8"/>
    <col width="13" customWidth="1" min="9" max="9"/>
    <col width="10" customWidth="1" min="10" max="10"/>
  </cols>
  <sheetData>
    <row r="1"/>
    <row r="2">
      <c r="A2" s="8" t="inlineStr">
        <is>
          <t>KỊCH BẢN KIỂM THỬ NGHIỆM THU NGƯỜI DÙNG (UAT TEST CASES)</t>
        </is>
      </c>
      <c r="E2" s="9" t="inlineStr">
        <is>
          <t>Phân hệ kiểm thử:</t>
        </is>
      </c>
      <c r="F2" s="8" t="inlineStr">
        <is>
          <t>Phân hệ 2: Workflow Engine &amp; Chốt chặn Transition Gatekeeper</t>
        </is>
      </c>
    </row>
    <row r="3"/>
    <row r="4">
      <c r="E4" s="10" t="inlineStr">
        <is>
          <t>Số TC đạt (P):</t>
        </is>
      </c>
      <c r="F4" s="7">
        <f>COUNTIF(J11:J16,"P")</f>
        <v/>
      </c>
    </row>
    <row r="5">
      <c r="E5" s="10" t="inlineStr">
        <is>
          <t>Số TC không đạt (F):</t>
        </is>
      </c>
      <c r="F5" s="7">
        <f>COUNTIF(J11:J16,"F")</f>
        <v/>
      </c>
    </row>
    <row r="6">
      <c r="E6" s="10" t="inlineStr">
        <is>
          <t>Số TC đang xem xét (PE):</t>
        </is>
      </c>
      <c r="F6" s="7">
        <f>COUNTIF(J11:J16,"PE")</f>
        <v/>
      </c>
    </row>
    <row r="7">
      <c r="E7" s="10" t="inlineStr">
        <is>
          <t>Số TC chưa thực hiện:</t>
        </is>
      </c>
      <c r="F7" s="7">
        <f>COUNTBLANK(J11:J16)</f>
        <v/>
      </c>
    </row>
    <row r="8">
      <c r="E8" s="10" t="inlineStr">
        <is>
          <t>Tổng số test cases:</t>
        </is>
      </c>
      <c r="F8" s="7">
        <f>COUNTA(B11:B16)</f>
        <v/>
      </c>
    </row>
    <row r="9"/>
    <row r="10">
      <c r="A10" s="2" t="inlineStr">
        <is>
          <t>STT</t>
        </is>
      </c>
      <c r="B10" s="2" t="inlineStr">
        <is>
          <t>Mã chức năng</t>
        </is>
      </c>
      <c r="C10" s="2" t="inlineStr">
        <is>
          <t>Tên kịch bản kiểm thử</t>
        </is>
      </c>
      <c r="D10" s="2" t="inlineStr">
        <is>
          <t>Điều kiện tiên quyết</t>
        </is>
      </c>
      <c r="E10" s="2" t="inlineStr">
        <is>
          <t>Các bước thực hiện</t>
        </is>
      </c>
      <c r="F10" s="2" t="inlineStr">
        <is>
          <t>Dữ liệu đầu vào</t>
        </is>
      </c>
      <c r="G10" s="2" t="inlineStr">
        <is>
          <t>Kết quả mong muốn</t>
        </is>
      </c>
      <c r="H10" s="2" t="inlineStr">
        <is>
          <t>Kết quả thực tế</t>
        </is>
      </c>
      <c r="I10" s="2" t="inlineStr">
        <is>
          <t>Trạng thái</t>
        </is>
      </c>
      <c r="J10" s="2" t="inlineStr">
        <is>
          <t>Ghi chú</t>
        </is>
      </c>
    </row>
    <row r="11">
      <c r="A11" s="3" t="n">
        <v>1</v>
      </c>
      <c r="B11" s="3" t="inlineStr">
        <is>
          <t>F-2.1</t>
        </is>
      </c>
      <c r="C11" s="4" t="inlineStr">
        <is>
          <t>Cấu hình bước quy trình và gán chứng từ bắt buộc</t>
        </is>
      </c>
      <c r="D11" s="11" t="inlineStr">
        <is>
          <t>Admin đăng nhập</t>
        </is>
      </c>
      <c r="E11" s="11" t="inlineStr">
        <is>
          <t>Thêm bước 'Hỏi giá vốn', tick chọn yêu cầu 'CO/CQ' và bật Chặn cứng</t>
        </is>
      </c>
      <c r="F11" s="11" t="inlineStr">
        <is>
          <t>Dữ liệu mẫu Mibid</t>
        </is>
      </c>
      <c r="G11" s="11" t="inlineStr">
        <is>
          <t>Lưu thành công quy tắc stage_doc_rules với is_hard_stop = TRUE</t>
        </is>
      </c>
      <c r="H11" s="11" t="inlineStr">
        <is>
          <t>Lưu thành công quy tắc stage_doc_rules với is_hard_stop = TRUE</t>
        </is>
      </c>
      <c r="I11" s="12" t="inlineStr">
        <is>
          <t>P</t>
        </is>
      </c>
      <c r="J11" s="11" t="inlineStr"/>
    </row>
    <row r="12">
      <c r="A12" s="3" t="n">
        <v>2</v>
      </c>
      <c r="B12" s="3" t="inlineStr">
        <is>
          <t>F-2.2</t>
        </is>
      </c>
      <c r="C12" s="4" t="inlineStr">
        <is>
          <t>Kéo thẻ dự án sang bước tiếp theo khi đủ hồ sơ</t>
        </is>
      </c>
      <c r="D12" s="11" t="inlineStr">
        <is>
          <t>Dự án đã đủ chứng từ</t>
        </is>
      </c>
      <c r="E12" s="11" t="inlineStr">
        <is>
          <t>Kéo thẻ từ Cột Chuẩn bị sang Cột Hỏi giá vốn</t>
        </is>
      </c>
      <c r="F12" s="11" t="inlineStr">
        <is>
          <t>Dữ liệu mẫu Mibid</t>
        </is>
      </c>
      <c r="G12" s="11" t="inlineStr">
        <is>
          <t>Thẻ di chuyển mượt mà sang cột mới, cập nhật CSDL và ghi log chuyển bước</t>
        </is>
      </c>
      <c r="H12" s="11" t="inlineStr">
        <is>
          <t>Thẻ di chuyển mượt mà sang cột mới, cập nhật CSDL và ghi log chuyển bước</t>
        </is>
      </c>
      <c r="I12" s="12" t="inlineStr">
        <is>
          <t>P</t>
        </is>
      </c>
      <c r="J12" s="11" t="inlineStr"/>
    </row>
    <row r="13">
      <c r="A13" s="3" t="n">
        <v>3</v>
      </c>
      <c r="B13" s="3" t="inlineStr">
        <is>
          <t>F-2.3</t>
        </is>
      </c>
      <c r="C13" s="4" t="inlineStr">
        <is>
          <t>Chốt chặn Hard Stop chặn đứng kéo thẻ khi thiếu chứng từ</t>
        </is>
      </c>
      <c r="D13" s="11" t="inlineStr">
        <is>
          <t>Dự án chưa có CO/CQ</t>
        </is>
      </c>
      <c r="E13" s="11" t="inlineStr">
        <is>
          <t>Kéo thẻ dự án sang Cột Hỏi giá vốn</t>
        </is>
      </c>
      <c r="F13" s="11" t="inlineStr">
        <is>
          <t>Dữ liệu mẫu Mibid</t>
        </is>
      </c>
      <c r="G13" s="11" t="inlineStr">
        <is>
          <t>Thẻ rung lắc giật lùi về cột cũ, bật popup đỏ thông báo vi phạm Gatekeeper</t>
        </is>
      </c>
      <c r="H13" s="11" t="inlineStr">
        <is>
          <t>Thẻ rung lắc giật lùi về cột cũ, bật popup đỏ thông báo vi phạm Gatekeeper</t>
        </is>
      </c>
      <c r="I13" s="12" t="inlineStr">
        <is>
          <t>P</t>
        </is>
      </c>
      <c r="J13" s="11" t="inlineStr"/>
    </row>
    <row r="14">
      <c r="A14" s="3" t="n">
        <v>4</v>
      </c>
      <c r="B14" s="3" t="inlineStr">
        <is>
          <t>F-2.3</t>
        </is>
      </c>
      <c r="C14" s="4" t="inlineStr">
        <is>
          <t>Chốt chặn Cảnh báo mềm Soft Warning cho phép đi tiếp</t>
        </is>
      </c>
      <c r="D14" s="11" t="inlineStr">
        <is>
          <t>Thiếu chứng từ soft</t>
        </is>
      </c>
      <c r="E14" s="11" t="inlineStr">
        <is>
          <t>Kéo thẻ dự án sang bước kế tiếp</t>
        </is>
      </c>
      <c r="F14" s="11" t="inlineStr">
        <is>
          <t>Dữ liệu mẫu Mibid</t>
        </is>
      </c>
      <c r="G14" s="11" t="inlineStr">
        <is>
          <t>Hiển thị popup cảnh báo vàng, bấm 'Vẫn tiếp tục' thì cho phép chuyển bước</t>
        </is>
      </c>
      <c r="H14" s="11" t="inlineStr">
        <is>
          <t>Hiển thị popup cảnh báo vàng, bấm 'Vẫn tiếp tục' thì cho phép chuyển bước</t>
        </is>
      </c>
      <c r="I14" s="12" t="inlineStr">
        <is>
          <t>P</t>
        </is>
      </c>
      <c r="J14" s="11" t="inlineStr"/>
    </row>
    <row r="15">
      <c r="A15" s="3" t="n">
        <v>5</v>
      </c>
      <c r="B15" s="3" t="inlineStr">
        <is>
          <t>F-2.3</t>
        </is>
      </c>
      <c r="C15" s="4" t="inlineStr">
        <is>
          <t>Khóa phân tán ngăn 2 người kéo thẻ đồng thời</t>
        </is>
      </c>
      <c r="D15" s="11" t="inlineStr">
        <is>
          <t>2 nhân viên cùng mở</t>
        </is>
      </c>
      <c r="E15" s="11" t="inlineStr">
        <is>
          <t>Nhân viên A và B cùng kéo 1 thẻ sang 2 cột khác nhau trong cùng 1 giây</t>
        </is>
      </c>
      <c r="F15" s="11" t="inlineStr">
        <is>
          <t>Dữ liệu mẫu Mibid</t>
        </is>
      </c>
      <c r="G15" s="11" t="inlineStr">
        <is>
          <t>Nhân viên A thành công, nhân viên B nhận thông báo xung đột dữ liệu 423</t>
        </is>
      </c>
      <c r="H15" s="11" t="inlineStr">
        <is>
          <t>Nhân viên A thành công, nhân viên B nhận thông báo xung đột dữ liệu 423</t>
        </is>
      </c>
      <c r="I15" s="12" t="inlineStr">
        <is>
          <t>P</t>
        </is>
      </c>
      <c r="J15" s="11" t="inlineStr"/>
    </row>
    <row r="16">
      <c r="A16" s="3" t="n">
        <v>6</v>
      </c>
      <c r="B16" s="3" t="inlineStr">
        <is>
          <t>F-2.4</t>
        </is>
      </c>
      <c r="C16" s="4" t="inlineStr">
        <is>
          <t>Xem nhật ký kiểm toán dòng thời gian chuyển bước</t>
        </is>
      </c>
      <c r="D16" s="11" t="inlineStr">
        <is>
          <t>Dự án đã qua 3 bước</t>
        </is>
      </c>
      <c r="E16" s="11" t="inlineStr">
        <is>
          <t>Mở Tab 'Nhật ký &amp; Thảo luận'</t>
        </is>
      </c>
      <c r="F16" s="11" t="inlineStr">
        <is>
          <t>Dữ liệu mẫu Mibid</t>
        </is>
      </c>
      <c r="G16" s="11" t="inlineStr">
        <is>
          <t>Hiển thị đầy đủ timeline: thời điểm, người chuyển, bước đi, bước đến</t>
        </is>
      </c>
      <c r="H16" s="11" t="inlineStr">
        <is>
          <t>Hiển thị đầy đủ timeline: thời điểm, người chuyển, bước đi, bước đến</t>
        </is>
      </c>
      <c r="I16" s="12" t="inlineStr">
        <is>
          <t>P</t>
        </is>
      </c>
      <c r="J16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5" customWidth="1" min="4" max="4"/>
    <col width="50" customWidth="1" min="5" max="5"/>
    <col width="50" customWidth="1" min="6" max="6"/>
    <col width="50" customWidth="1" min="7" max="7"/>
    <col width="50" customWidth="1" min="8" max="8"/>
    <col width="13" customWidth="1" min="9" max="9"/>
    <col width="10" customWidth="1" min="10" max="10"/>
  </cols>
  <sheetData>
    <row r="1"/>
    <row r="2">
      <c r="A2" s="8" t="inlineStr">
        <is>
          <t>KỊCH BẢN KIỂM THỬ NGHIỆM THU NGƯỜI DÙNG (UAT TEST CASES)</t>
        </is>
      </c>
      <c r="E2" s="9" t="inlineStr">
        <is>
          <t>Phân hệ kiểm thử:</t>
        </is>
      </c>
      <c r="F2" s="8" t="inlineStr">
        <is>
          <t>Phân hệ 3: Mua hàng, Báo giá &amp; Cổng Không chạm Magic Link</t>
        </is>
      </c>
    </row>
    <row r="3"/>
    <row r="4">
      <c r="E4" s="10" t="inlineStr">
        <is>
          <t>Số TC đạt (P):</t>
        </is>
      </c>
      <c r="F4" s="7">
        <f>COUNTIF(J11:J17,"P")</f>
        <v/>
      </c>
    </row>
    <row r="5">
      <c r="E5" s="10" t="inlineStr">
        <is>
          <t>Số TC không đạt (F):</t>
        </is>
      </c>
      <c r="F5" s="7">
        <f>COUNTIF(J11:J17,"F")</f>
        <v/>
      </c>
    </row>
    <row r="6">
      <c r="E6" s="10" t="inlineStr">
        <is>
          <t>Số TC đang xem xét (PE):</t>
        </is>
      </c>
      <c r="F6" s="7">
        <f>COUNTIF(J11:J17,"PE")</f>
        <v/>
      </c>
    </row>
    <row r="7">
      <c r="E7" s="10" t="inlineStr">
        <is>
          <t>Số TC chưa thực hiện:</t>
        </is>
      </c>
      <c r="F7" s="7">
        <f>COUNTBLANK(J11:J17)</f>
        <v/>
      </c>
    </row>
    <row r="8">
      <c r="E8" s="10" t="inlineStr">
        <is>
          <t>Tổng số test cases:</t>
        </is>
      </c>
      <c r="F8" s="7">
        <f>COUNTA(B11:B17)</f>
        <v/>
      </c>
    </row>
    <row r="9"/>
    <row r="10">
      <c r="A10" s="2" t="inlineStr">
        <is>
          <t>STT</t>
        </is>
      </c>
      <c r="B10" s="2" t="inlineStr">
        <is>
          <t>Mã chức năng</t>
        </is>
      </c>
      <c r="C10" s="2" t="inlineStr">
        <is>
          <t>Tên kịch bản kiểm thử</t>
        </is>
      </c>
      <c r="D10" s="2" t="inlineStr">
        <is>
          <t>Điều kiện tiên quyết</t>
        </is>
      </c>
      <c r="E10" s="2" t="inlineStr">
        <is>
          <t>Các bước thực hiện</t>
        </is>
      </c>
      <c r="F10" s="2" t="inlineStr">
        <is>
          <t>Dữ liệu đầu vào</t>
        </is>
      </c>
      <c r="G10" s="2" t="inlineStr">
        <is>
          <t>Kết quả mong muốn</t>
        </is>
      </c>
      <c r="H10" s="2" t="inlineStr">
        <is>
          <t>Kết quả thực tế</t>
        </is>
      </c>
      <c r="I10" s="2" t="inlineStr">
        <is>
          <t>Trạng thái</t>
        </is>
      </c>
      <c r="J10" s="2" t="inlineStr">
        <is>
          <t>Ghi chú</t>
        </is>
      </c>
    </row>
    <row r="11">
      <c r="A11" s="3" t="n">
        <v>1</v>
      </c>
      <c r="B11" s="3" t="inlineStr">
        <is>
          <t>F-3.1</t>
        </is>
      </c>
      <c r="C11" s="4" t="inlineStr">
        <is>
          <t>Lập yêu cầu báo giá RFQ bóc tách dòng hàng</t>
        </is>
      </c>
      <c r="D11" s="11" t="inlineStr">
        <is>
          <t>Dự án đang mở</t>
        </is>
      </c>
      <c r="E11" s="11" t="inlineStr">
        <is>
          <t>Tạo RFQ gồm 3 dòng hàng, nhập mã HS Code, Incoterms FOB Hải Phòng</t>
        </is>
      </c>
      <c r="F11" s="11" t="inlineStr">
        <is>
          <t>Dữ liệu mẫu Mibid</t>
        </is>
      </c>
      <c r="G11" s="11" t="inlineStr">
        <is>
          <t>Lưu bản ghi RFQ và 3 rfq_line_items thành công</t>
        </is>
      </c>
      <c r="H11" s="11" t="inlineStr">
        <is>
          <t>Lưu bản ghi RFQ và 3 rfq_line_items thành công</t>
        </is>
      </c>
      <c r="I11" s="12" t="inlineStr">
        <is>
          <t>P</t>
        </is>
      </c>
      <c r="J11" s="11" t="inlineStr"/>
    </row>
    <row r="12">
      <c r="A12" s="3" t="n">
        <v>2</v>
      </c>
      <c r="B12" s="3" t="inlineStr">
        <is>
          <t>F-3.2</t>
        </is>
      </c>
      <c r="C12" s="4" t="inlineStr">
        <is>
          <t>Phát hành Magic Link mã hóa JWT và gửi mã PIN</t>
        </is>
      </c>
      <c r="D12" s="11" t="inlineStr">
        <is>
          <t>RFQ ở trạng thái DRAFT</t>
        </is>
      </c>
      <c r="E12" s="11" t="inlineStr">
        <is>
          <t>Chọn 3 nhà cung cấp và bấm 'Phát hành &amp; Gửi Link'</t>
        </is>
      </c>
      <c r="F12" s="11" t="inlineStr">
        <is>
          <t>Dữ liệu mẫu Mibid</t>
        </is>
      </c>
      <c r="G12" s="11" t="inlineStr">
        <is>
          <t>Sinh 3 JWT token duy nhất, gửi 3 email kèm mã PIN 4 số riêng biệt</t>
        </is>
      </c>
      <c r="H12" s="11" t="inlineStr">
        <is>
          <t>Sinh 3 JWT token duy nhất, gửi 3 email kèm mã PIN 4 số riêng biệt</t>
        </is>
      </c>
      <c r="I12" s="12" t="inlineStr">
        <is>
          <t>P</t>
        </is>
      </c>
      <c r="J12" s="11" t="inlineStr"/>
    </row>
    <row r="13">
      <c r="A13" s="3" t="n">
        <v>3</v>
      </c>
      <c r="B13" s="3" t="inlineStr">
        <is>
          <t>F-3.3</t>
        </is>
      </c>
      <c r="C13" s="4" t="inlineStr">
        <is>
          <t>Đối tác mở Magic Link trên điện thoại và xác thực PIN</t>
        </is>
      </c>
      <c r="D13" s="11" t="inlineStr">
        <is>
          <t>Vendor nhận email</t>
        </is>
      </c>
      <c r="E13" s="11" t="inlineStr">
        <is>
          <t>Nhấp link từ email, nhập mã PIN 4 số trên web mobile</t>
        </is>
      </c>
      <c r="F13" s="11" t="inlineStr">
        <is>
          <t>Dữ liệu mẫu Mibid</t>
        </is>
      </c>
      <c r="G13" s="11" t="inlineStr">
        <is>
          <t>Xác thực thành công, hiển thị form báo giá danh mục hàng trong 400ms</t>
        </is>
      </c>
      <c r="H13" s="11" t="inlineStr">
        <is>
          <t>Xác thực thành công, hiển thị form báo giá danh mục hàng trong 400ms</t>
        </is>
      </c>
      <c r="I13" s="12" t="inlineStr">
        <is>
          <t>P</t>
        </is>
      </c>
      <c r="J13" s="11" t="inlineStr"/>
    </row>
    <row r="14">
      <c r="A14" s="3" t="n">
        <v>4</v>
      </c>
      <c r="B14" s="3" t="inlineStr">
        <is>
          <t>F-3.3</t>
        </is>
      </c>
      <c r="C14" s="4" t="inlineStr">
        <is>
          <t>Đối tác điền đơn giá và nộp báo giá thành công</t>
        </is>
      </c>
      <c r="D14" s="11" t="inlineStr">
        <is>
          <t>Đang ở form nộp giá</t>
        </is>
      </c>
      <c r="E14" s="11" t="inlineStr">
        <is>
          <t>Điền đơn giá USD cho 3 món, upload file PDF catalog và bấm Submit</t>
        </is>
      </c>
      <c r="F14" s="11" t="inlineStr">
        <is>
          <t>Dữ liệu mẫu Mibid</t>
        </is>
      </c>
      <c r="G14" s="11" t="inlineStr">
        <is>
          <t>Lưu báo giá vào bảng quotations, đổi trạng thái token thành USED</t>
        </is>
      </c>
      <c r="H14" s="11" t="inlineStr">
        <is>
          <t>Lưu báo giá vào bảng quotations, đổi trạng thái token thành USED</t>
        </is>
      </c>
      <c r="I14" s="12" t="inlineStr">
        <is>
          <t>P</t>
        </is>
      </c>
      <c r="J14" s="11" t="inlineStr"/>
    </row>
    <row r="15">
      <c r="A15" s="3" t="n">
        <v>5</v>
      </c>
      <c r="B15" s="3" t="inlineStr">
        <is>
          <t>F-3.3</t>
        </is>
      </c>
      <c r="C15" s="4" t="inlineStr">
        <is>
          <t>Ngăn chặn nộp lại báo giá khi Magic Link đã dùng</t>
        </is>
      </c>
      <c r="D15" s="11" t="inlineStr">
        <is>
          <t>Token đã status = USED</t>
        </is>
      </c>
      <c r="E15" s="11" t="inlineStr">
        <is>
          <t>Vendor nhấp lại link cũ và bấm gửi</t>
        </is>
      </c>
      <c r="F15" s="11" t="inlineStr">
        <is>
          <t>Dữ liệu mẫu Mibid</t>
        </is>
      </c>
      <c r="G15" s="11" t="inlineStr">
        <is>
          <t>Hệ thống báo lỗi 409 Conflict: 'Liên kết báo giá này đã được sử dụng'</t>
        </is>
      </c>
      <c r="H15" s="11" t="inlineStr">
        <is>
          <t>Hệ thống báo lỗi 409 Conflict: 'Liên kết báo giá này đã được sử dụng'</t>
        </is>
      </c>
      <c r="I15" s="12" t="inlineStr">
        <is>
          <t>P</t>
        </is>
      </c>
      <c r="J15" s="11" t="inlineStr"/>
    </row>
    <row r="16">
      <c r="A16" s="3" t="n">
        <v>6</v>
      </c>
      <c r="B16" s="3" t="inlineStr">
        <is>
          <t>F-3.4</t>
        </is>
      </c>
      <c r="C16" s="4" t="inlineStr">
        <is>
          <t>Ma trận so sánh tự động quy đổi ngoại tệ về VND</t>
        </is>
      </c>
      <c r="D16" s="11" t="inlineStr">
        <is>
          <t>Đã nhận 3 báo giá</t>
        </is>
      </c>
      <c r="E16" s="11" t="inlineStr">
        <is>
          <t>Mở Tab 'Ma trận So sánh' với tỷ giá 25.400 VND/USD</t>
        </is>
      </c>
      <c r="F16" s="11" t="inlineStr">
        <is>
          <t>Dữ liệu mẫu Mibid</t>
        </is>
      </c>
      <c r="G16" s="11" t="inlineStr">
        <is>
          <t>Quy đổi toàn bộ đơn giá về VND, tô xanh lá nổi bật dòng giá thấp nhất</t>
        </is>
      </c>
      <c r="H16" s="11" t="inlineStr">
        <is>
          <t>Quy đổi toàn bộ đơn giá về VND, tô xanh lá nổi bật dòng giá thấp nhất</t>
        </is>
      </c>
      <c r="I16" s="12" t="inlineStr">
        <is>
          <t>P</t>
        </is>
      </c>
      <c r="J16" s="11" t="inlineStr"/>
    </row>
    <row r="17">
      <c r="A17" s="3" t="n">
        <v>7</v>
      </c>
      <c r="B17" s="3" t="inlineStr">
        <is>
          <t>F-3.4</t>
        </is>
      </c>
      <c r="C17" s="4" t="inlineStr">
        <is>
          <t>Phê duyệt Vendor chiến thắng và đóng RFQ</t>
        </is>
      </c>
      <c r="D17" s="11" t="inlineStr">
        <is>
          <t>Đang xem ma trận</t>
        </is>
      </c>
      <c r="E17" s="11" t="inlineStr">
        <is>
          <t>Bấm 'Phê duyệt Vendor B'</t>
        </is>
      </c>
      <c r="F17" s="11" t="inlineStr">
        <is>
          <t>Dữ liệu mẫu Mibid</t>
        </is>
      </c>
      <c r="G17" s="11" t="inlineStr">
        <is>
          <t>Vendor B chuyển APPROVED, các Vendor khác thành REJECTED, RFQ đổi CLOSED</t>
        </is>
      </c>
      <c r="H17" s="11" t="inlineStr">
        <is>
          <t>Vendor B chuyển APPROVED, các Vendor khác thành REJECTED, RFQ đổi CLOSED</t>
        </is>
      </c>
      <c r="I17" s="12" t="inlineStr">
        <is>
          <t>P</t>
        </is>
      </c>
      <c r="J17" s="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7" customWidth="1" min="4" max="4"/>
    <col width="50" customWidth="1" min="5" max="5"/>
    <col width="50" customWidth="1" min="6" max="6"/>
    <col width="50" customWidth="1" min="7" max="7"/>
    <col width="50" customWidth="1" min="8" max="8"/>
    <col width="13" customWidth="1" min="9" max="9"/>
    <col width="10" customWidth="1" min="10" max="10"/>
  </cols>
  <sheetData>
    <row r="1"/>
    <row r="2">
      <c r="A2" s="8" t="inlineStr">
        <is>
          <t>KỊCH BẢN KIỂM THỬ NGHIỆM THU NGƯỜI DÙNG (UAT TEST CASES)</t>
        </is>
      </c>
      <c r="E2" s="9" t="inlineStr">
        <is>
          <t>Phân hệ kiểm thử:</t>
        </is>
      </c>
      <c r="F2" s="8" t="inlineStr">
        <is>
          <t>Phân hệ 4: Quản trị Công việc Vi mô &amp; Hồ sơ Dự thầu</t>
        </is>
      </c>
    </row>
    <row r="3"/>
    <row r="4">
      <c r="E4" s="10" t="inlineStr">
        <is>
          <t>Số TC đạt (P):</t>
        </is>
      </c>
      <c r="F4" s="7">
        <f>COUNTIF(J11:J13,"P")</f>
        <v/>
      </c>
    </row>
    <row r="5">
      <c r="E5" s="10" t="inlineStr">
        <is>
          <t>Số TC không đạt (F):</t>
        </is>
      </c>
      <c r="F5" s="7">
        <f>COUNTIF(J11:J13,"F")</f>
        <v/>
      </c>
    </row>
    <row r="6">
      <c r="E6" s="10" t="inlineStr">
        <is>
          <t>Số TC đang xem xét (PE):</t>
        </is>
      </c>
      <c r="F6" s="7">
        <f>COUNTIF(J11:J13,"PE")</f>
        <v/>
      </c>
    </row>
    <row r="7">
      <c r="E7" s="10" t="inlineStr">
        <is>
          <t>Số TC chưa thực hiện:</t>
        </is>
      </c>
      <c r="F7" s="7">
        <f>COUNTBLANK(J11:J13)</f>
        <v/>
      </c>
    </row>
    <row r="8">
      <c r="E8" s="10" t="inlineStr">
        <is>
          <t>Tổng số test cases:</t>
        </is>
      </c>
      <c r="F8" s="7">
        <f>COUNTA(B11:B13)</f>
        <v/>
      </c>
    </row>
    <row r="9"/>
    <row r="10">
      <c r="A10" s="2" t="inlineStr">
        <is>
          <t>STT</t>
        </is>
      </c>
      <c r="B10" s="2" t="inlineStr">
        <is>
          <t>Mã chức năng</t>
        </is>
      </c>
      <c r="C10" s="2" t="inlineStr">
        <is>
          <t>Tên kịch bản kiểm thử</t>
        </is>
      </c>
      <c r="D10" s="2" t="inlineStr">
        <is>
          <t>Điều kiện tiên quyết</t>
        </is>
      </c>
      <c r="E10" s="2" t="inlineStr">
        <is>
          <t>Các bước thực hiện</t>
        </is>
      </c>
      <c r="F10" s="2" t="inlineStr">
        <is>
          <t>Dữ liệu đầu vào</t>
        </is>
      </c>
      <c r="G10" s="2" t="inlineStr">
        <is>
          <t>Kết quả mong muốn</t>
        </is>
      </c>
      <c r="H10" s="2" t="inlineStr">
        <is>
          <t>Kết quả thực tế</t>
        </is>
      </c>
      <c r="I10" s="2" t="inlineStr">
        <is>
          <t>Trạng thái</t>
        </is>
      </c>
      <c r="J10" s="2" t="inlineStr">
        <is>
          <t>Ghi chú</t>
        </is>
      </c>
    </row>
    <row r="11">
      <c r="A11" s="3" t="n">
        <v>1</v>
      </c>
      <c r="B11" s="3" t="inlineStr">
        <is>
          <t>F-4.1</t>
        </is>
      </c>
      <c r="C11" s="4" t="inlineStr">
        <is>
          <t>Tự động sinh danh mục công việc khi chuyển bước</t>
        </is>
      </c>
      <c r="D11" s="11" t="inlineStr">
        <is>
          <t>Dự án chuyển bước mới</t>
        </is>
      </c>
      <c r="E11" s="11" t="inlineStr">
        <is>
          <t>Kéo thẻ dự án sang bước 'Nộp thầu'</t>
        </is>
      </c>
      <c r="F11" s="11" t="inlineStr">
        <is>
          <t>Dữ liệu mẫu Mibid</t>
        </is>
      </c>
      <c r="G11" s="11" t="inlineStr">
        <is>
          <t>Tự động sinh 3 task vi mô, gán đích danh cho Sales Exec theo hạn SLA</t>
        </is>
      </c>
      <c r="H11" s="11" t="inlineStr">
        <is>
          <t>Tự động sinh 3 task vi mô, gán đích danh cho Sales Exec theo hạn SLA</t>
        </is>
      </c>
      <c r="I11" s="12" t="inlineStr">
        <is>
          <t>P</t>
        </is>
      </c>
      <c r="J11" s="11" t="inlineStr"/>
    </row>
    <row r="12">
      <c r="A12" s="3" t="n">
        <v>2</v>
      </c>
      <c r="B12" s="3" t="inlineStr">
        <is>
          <t>F-4.2</t>
        </is>
      </c>
      <c r="C12" s="4" t="inlineStr">
        <is>
          <t>Cập nhật tiến độ hoàn thành công việc</t>
        </is>
      </c>
      <c r="D12" s="11" t="inlineStr">
        <is>
          <t>Nhân viên được giao việc</t>
        </is>
      </c>
      <c r="E12" s="11" t="inlineStr">
        <is>
          <t>Chọn công việc 'Chuẩn bị bảo lãnh dự thầu' -&gt; bấm 'Đã xong'</t>
        </is>
      </c>
      <c r="F12" s="11" t="inlineStr">
        <is>
          <t>Dữ liệu mẫu Mibid</t>
        </is>
      </c>
      <c r="G12" s="11" t="inlineStr">
        <is>
          <t>Trạng thái công việc chuyển sang DONE, ghi nhận thời gian hoàn thành</t>
        </is>
      </c>
      <c r="H12" s="11" t="inlineStr">
        <is>
          <t>Trạng thái công việc chuyển sang DONE, ghi nhận thời gian hoàn thành</t>
        </is>
      </c>
      <c r="I12" s="12" t="inlineStr">
        <is>
          <t>P</t>
        </is>
      </c>
      <c r="J12" s="11" t="inlineStr"/>
    </row>
    <row r="13">
      <c r="A13" s="3" t="n">
        <v>3</v>
      </c>
      <c r="B13" s="3" t="inlineStr">
        <is>
          <t>F-4.3</t>
        </is>
      </c>
      <c r="C13" s="4" t="inlineStr">
        <is>
          <t>Lắp ráp hồ sơ thầu và tải gói ZIP hoàn chỉnh</t>
        </is>
      </c>
      <c r="D13" s="11" t="inlineStr">
        <is>
          <t>Hồ sơ thầu đầy đủ</t>
        </is>
      </c>
      <c r="E13" s="11" t="inlineStr">
        <is>
          <t>Chọn 5 tài liệu hợp lệ và bấm 'Đóng gói Hồ sơ'</t>
        </is>
      </c>
      <c r="F13" s="11" t="inlineStr">
        <is>
          <t>Dữ liệu mẫu Mibid</t>
        </is>
      </c>
      <c r="G13" s="11" t="inlineStr">
        <is>
          <t>Tạo tệp ZIP nén có chèn mục lục tự động, cung cấp link tải về máy</t>
        </is>
      </c>
      <c r="H13" s="11" t="inlineStr">
        <is>
          <t>Tạo tệp ZIP nén có chèn mục lục tự động, cung cấp link tải về máy</t>
        </is>
      </c>
      <c r="I13" s="12" t="inlineStr">
        <is>
          <t>P</t>
        </is>
      </c>
      <c r="J1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3" customWidth="1" min="4" max="4"/>
    <col width="50" customWidth="1" min="5" max="5"/>
    <col width="50" customWidth="1" min="6" max="6"/>
    <col width="50" customWidth="1" min="7" max="7"/>
    <col width="50" customWidth="1" min="8" max="8"/>
    <col width="13" customWidth="1" min="9" max="9"/>
    <col width="10" customWidth="1" min="10" max="10"/>
  </cols>
  <sheetData>
    <row r="1"/>
    <row r="2">
      <c r="A2" s="8" t="inlineStr">
        <is>
          <t>KỊCH BẢN KIỂM THỬ NGHIỆM THU NGƯỜI DÙNG (UAT TEST CASES)</t>
        </is>
      </c>
      <c r="E2" s="9" t="inlineStr">
        <is>
          <t>Phân hệ kiểm thử:</t>
        </is>
      </c>
      <c r="F2" s="8" t="inlineStr">
        <is>
          <t>Phân hệ 5: Theo dõi Lô hàng Logistics &amp; Báo cáo Phân tích BI</t>
        </is>
      </c>
    </row>
    <row r="3"/>
    <row r="4">
      <c r="E4" s="10" t="inlineStr">
        <is>
          <t>Số TC đạt (P):</t>
        </is>
      </c>
      <c r="F4" s="7">
        <f>COUNTIF(J11:J14,"P")</f>
        <v/>
      </c>
    </row>
    <row r="5">
      <c r="E5" s="10" t="inlineStr">
        <is>
          <t>Số TC không đạt (F):</t>
        </is>
      </c>
      <c r="F5" s="7">
        <f>COUNTIF(J11:J14,"F")</f>
        <v/>
      </c>
    </row>
    <row r="6">
      <c r="E6" s="10" t="inlineStr">
        <is>
          <t>Số TC đang xem xét (PE):</t>
        </is>
      </c>
      <c r="F6" s="7">
        <f>COUNTIF(J11:J14,"PE")</f>
        <v/>
      </c>
    </row>
    <row r="7">
      <c r="E7" s="10" t="inlineStr">
        <is>
          <t>Số TC chưa thực hiện:</t>
        </is>
      </c>
      <c r="F7" s="7">
        <f>COUNTBLANK(J11:J14)</f>
        <v/>
      </c>
    </row>
    <row r="8">
      <c r="E8" s="10" t="inlineStr">
        <is>
          <t>Tổng số test cases:</t>
        </is>
      </c>
      <c r="F8" s="7">
        <f>COUNTA(B11:B14)</f>
        <v/>
      </c>
    </row>
    <row r="9"/>
    <row r="10">
      <c r="A10" s="2" t="inlineStr">
        <is>
          <t>STT</t>
        </is>
      </c>
      <c r="B10" s="2" t="inlineStr">
        <is>
          <t>Mã chức năng</t>
        </is>
      </c>
      <c r="C10" s="2" t="inlineStr">
        <is>
          <t>Tên kịch bản kiểm thử</t>
        </is>
      </c>
      <c r="D10" s="2" t="inlineStr">
        <is>
          <t>Điều kiện tiên quyết</t>
        </is>
      </c>
      <c r="E10" s="2" t="inlineStr">
        <is>
          <t>Các bước thực hiện</t>
        </is>
      </c>
      <c r="F10" s="2" t="inlineStr">
        <is>
          <t>Dữ liệu đầu vào</t>
        </is>
      </c>
      <c r="G10" s="2" t="inlineStr">
        <is>
          <t>Kết quả mong muốn</t>
        </is>
      </c>
      <c r="H10" s="2" t="inlineStr">
        <is>
          <t>Kết quả thực tế</t>
        </is>
      </c>
      <c r="I10" s="2" t="inlineStr">
        <is>
          <t>Trạng thái</t>
        </is>
      </c>
      <c r="J10" s="2" t="inlineStr">
        <is>
          <t>Ghi chú</t>
        </is>
      </c>
    </row>
    <row r="11">
      <c r="A11" s="3" t="n">
        <v>1</v>
      </c>
      <c r="B11" s="3" t="inlineStr">
        <is>
          <t>F-5.1</t>
        </is>
      </c>
      <c r="C11" s="4" t="inlineStr">
        <is>
          <t>Khởi tạo thông tin vận đơn BL và phụ phí vận chuyển</t>
        </is>
      </c>
      <c r="D11" s="11" t="inlineStr">
        <is>
          <t>Dự án trúng thầu</t>
        </is>
      </c>
      <c r="E11" s="11" t="inlineStr">
        <is>
          <t>Nhập mã vận đơn SITV123456, hãng tàu SITC, cảng Shanghai -&gt; Cat Lai</t>
        </is>
      </c>
      <c r="F11" s="11" t="inlineStr">
        <is>
          <t>Dữ liệu mẫu Mibid</t>
        </is>
      </c>
      <c r="G11" s="11" t="inlineStr">
        <is>
          <t>Lưu thành công lô hàng và bảng kê chi phí vận tải</t>
        </is>
      </c>
      <c r="H11" s="11" t="inlineStr">
        <is>
          <t>Lưu thành công lô hàng và bảng kê chi phí vận tải</t>
        </is>
      </c>
      <c r="I11" s="12" t="inlineStr">
        <is>
          <t>P</t>
        </is>
      </c>
      <c r="J11" s="11" t="inlineStr"/>
    </row>
    <row r="12">
      <c r="A12" s="3" t="n">
        <v>2</v>
      </c>
      <c r="B12" s="3" t="inlineStr">
        <is>
          <t>F-5.2</t>
        </is>
      </c>
      <c r="C12" s="4" t="inlineStr">
        <is>
          <t>Tiến trình chạy ngầm quét mốc giao nhận lúc 8:00 AM</t>
        </is>
      </c>
      <c r="D12" s="11" t="inlineStr">
        <is>
          <t>Có mốc ETA quá hạn</t>
        </is>
      </c>
      <c r="E12" s="11" t="inlineStr">
        <is>
          <t>Kích hoạt Batch Job định kỳ 8:00 AM (mô phỏng)</t>
        </is>
      </c>
      <c r="F12" s="11" t="inlineStr">
        <is>
          <t>Dữ liệu mẫu Mibid</t>
        </is>
      </c>
      <c r="G12" s="11" t="inlineStr">
        <is>
          <t>Bắn thông báo cảnh báo đỏ 'Lô hàng trễ tiến độ' tới chuyên viên vận hành</t>
        </is>
      </c>
      <c r="H12" s="11" t="inlineStr">
        <is>
          <t>Bắn thông báo cảnh báo đỏ 'Lô hàng trễ tiến độ' tới chuyên viên vận hành</t>
        </is>
      </c>
      <c r="I12" s="12" t="inlineStr">
        <is>
          <t>P</t>
        </is>
      </c>
      <c r="J12" s="11" t="inlineStr"/>
    </row>
    <row r="13">
      <c r="A13" s="3" t="n">
        <v>3</v>
      </c>
      <c r="B13" s="3" t="inlineStr">
        <is>
          <t>F-5.3</t>
        </is>
      </c>
      <c r="C13" s="4" t="inlineStr">
        <is>
          <t>Trích xuất báo cáo tỷ lệ trúng thầu Win/Loss</t>
        </is>
      </c>
      <c r="D13" s="11" t="inlineStr">
        <is>
          <t>Manager đăng nhập</t>
        </is>
      </c>
      <c r="E13" s="11" t="inlineStr">
        <is>
          <t>Mở báo cáo Win/Loss lọc 6 tháng đầu năm</t>
        </is>
      </c>
      <c r="F13" s="11" t="inlineStr">
        <is>
          <t>Dữ liệu mẫu Mibid</t>
        </is>
      </c>
      <c r="G13" s="11" t="inlineStr">
        <is>
          <t>Vẽ biểu đồ tròn tỷ lệ trúng thầu 62% và phân tích lý do trượt</t>
        </is>
      </c>
      <c r="H13" s="11" t="inlineStr">
        <is>
          <t>Vẽ biểu đồ tròn tỷ lệ trúng thầu 62% và phân tích lý do trượt</t>
        </is>
      </c>
      <c r="I13" s="12" t="inlineStr">
        <is>
          <t>P</t>
        </is>
      </c>
      <c r="J13" s="11" t="inlineStr"/>
    </row>
    <row r="14">
      <c r="A14" s="3" t="n">
        <v>4</v>
      </c>
      <c r="B14" s="3" t="inlineStr">
        <is>
          <t>F-5.4</t>
        </is>
      </c>
      <c r="C14" s="4" t="inlineStr">
        <is>
          <t>Phân tích điểm nghẽn chu trình nằm lại ở các bước</t>
        </is>
      </c>
      <c r="D14" s="11" t="inlineStr">
        <is>
          <t>Manager đăng nhập</t>
        </is>
      </c>
      <c r="E14" s="11" t="inlineStr">
        <is>
          <t>Mở báo cáo Bottleneck</t>
        </is>
      </c>
      <c r="F14" s="11" t="inlineStr">
        <is>
          <t>Dữ liệu mẫu Mibid</t>
        </is>
      </c>
      <c r="G14" s="11" t="inlineStr">
        <is>
          <t>Hiển thị biểu đồ số ngày trung bình ở từng bước, tô đỏ bước Hỏi giá vốn vượt SLA</t>
        </is>
      </c>
      <c r="H14" s="11" t="inlineStr">
        <is>
          <t>Hiển thị biểu đồ số ngày trung bình ở từng bước, tô đỏ bước Hỏi giá vốn vượt SLA</t>
        </is>
      </c>
      <c r="I14" s="12" t="inlineStr">
        <is>
          <t>P</t>
        </is>
      </c>
      <c r="J14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2026-09-01T05:04:11Z</dcterms:created>
  <dcterms:modified xmlns:dcterms="http://purl.org/dc/terms/" xmlns:xsi="http://www.w3.org/2001/XMLSchema-instance" xsi:type="dcterms:W3CDTF">2026-09-01T05:04:11Z</dcterms:modified>
</cp:coreProperties>
</file>