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able recognized documentchange" sheetId="2" state="visible" r:id="rId2"/>
    <sheet xmlns:r="http://schemas.openxmlformats.org/officeDocument/2006/relationships" name="Defines the type of function" sheetId="3" state="visible" r:id="rId3"/>
    <sheet xmlns:r="http://schemas.openxmlformats.org/officeDocument/2006/relationships" name="DB function" sheetId="4" state="visible" r:id="rId4"/>
    <sheet xmlns:r="http://schemas.openxmlformats.org/officeDocument/2006/relationships" name="Functional effort" sheetId="5" state="visible" r:id="rId5"/>
    <sheet xmlns:r="http://schemas.openxmlformats.org/officeDocument/2006/relationships" name="General eff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95959"/>
      <sz val="12"/>
    </font>
    <font>
      <name val="Calibri"/>
      <b val="1"/>
      <color rgb="001F497D"/>
      <sz val="16"/>
    </font>
    <font>
      <name val="Calibri"/>
      <b val="1"/>
      <color rgb="001F497D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5" fillId="0" borderId="1" applyAlignment="1" pivotButton="0" quotePrefix="0" xfId="0">
      <alignment horizontal="center"/>
    </xf>
    <xf numFmtId="0" fontId="6" fillId="2" borderId="0" pivotButton="0" quotePrefix="0" xfId="0"/>
    <xf numFmtId="0" fontId="4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9" customWidth="1" min="3" max="3"/>
    <col width="33" customWidth="1" min="4" max="4"/>
    <col width="3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/>
    <row r="2">
      <c r="A2" s="1" t="inlineStr">
        <is>
          <t>TẬP ĐOÀN CÔNG NGHIỆP - VIỄN THÔNG QUÂN ĐỘI</t>
        </is>
      </c>
    </row>
    <row r="3"/>
    <row r="4">
      <c r="A4" s="2" t="inlineStr">
        <is>
          <t>BẢNG ƯỚC LƯỢNG NỖ LỰC PHÁT TRIỂN PHẦN MỀM</t>
        </is>
      </c>
    </row>
    <row r="5"/>
    <row r="6"/>
    <row r="7">
      <c r="A7" s="3" t="inlineStr">
        <is>
          <t>DỰ ÁN: NỀN TẢNG QUẢN LÝ GÓI THẦU VÀ HỒ SƠ THẦU XUẤT NHẬP KHẨU (MIBID)</t>
        </is>
      </c>
    </row>
    <row r="8"/>
    <row r="9"/>
    <row r="10">
      <c r="C10" s="4" t="inlineStr">
        <is>
          <t>Mã dự án / Project Code:</t>
        </is>
      </c>
      <c r="E10" s="5" t="inlineStr">
        <is>
          <t>MIBID_XNK_2026</t>
        </is>
      </c>
    </row>
    <row r="11">
      <c r="C11" s="4" t="inlineStr">
        <is>
          <t>Mã tài liệu / Document Code:</t>
        </is>
      </c>
      <c r="E11" s="5" t="inlineStr">
        <is>
          <t>ULNL_MIBID_v1.0</t>
        </is>
      </c>
    </row>
    <row r="12">
      <c r="C12" s="4" t="inlineStr">
        <is>
          <t>Số lần ước lượng / Estimation Times:</t>
        </is>
      </c>
      <c r="E12" s="5" t="inlineStr">
        <is>
          <t>Lần 1 (Giai đoạn MVP Production)</t>
        </is>
      </c>
    </row>
    <row r="13">
      <c r="C13" s="4" t="inlineStr">
        <is>
          <t>Ngày lập / Created Date:</t>
        </is>
      </c>
      <c r="E13" s="5" t="inlineStr">
        <is>
          <t>2026-09-01</t>
        </is>
      </c>
    </row>
    <row r="14"/>
    <row r="15"/>
    <row r="16">
      <c r="B16" s="4" t="inlineStr">
        <is>
          <t>BẢNG KÝ DUYỆT ƯỚC LƯỢNG NỖ LỰC</t>
        </is>
      </c>
    </row>
    <row r="17">
      <c r="B17" s="6" t="inlineStr">
        <is>
          <t>Vai trò</t>
        </is>
      </c>
      <c r="C17" s="6" t="inlineStr">
        <is>
          <t>Họ và tên</t>
        </is>
      </c>
      <c r="D17" s="6" t="inlineStr">
        <is>
          <t>Chức vụ</t>
        </is>
      </c>
      <c r="E17" s="6" t="inlineStr">
        <is>
          <t>Chữ ký</t>
        </is>
      </c>
      <c r="F17" s="6" t="inlineStr">
        <is>
          <t>Ngày ký</t>
        </is>
      </c>
    </row>
    <row r="18">
      <c r="B18" s="7" t="inlineStr">
        <is>
          <t>Người lập (The establishment)</t>
        </is>
      </c>
      <c r="C18" s="8" t="inlineStr">
        <is>
          <t>Kỹ sư Điều phối Hệ thống</t>
        </is>
      </c>
      <c r="D18" s="8" t="inlineStr">
        <is>
          <t>Tech Lead / Solution Architect</t>
        </is>
      </c>
      <c r="E18" s="8" t="inlineStr"/>
      <c r="F18" s="8" t="inlineStr">
        <is>
          <t>2026-09-01</t>
        </is>
      </c>
    </row>
    <row r="19">
      <c r="B19" s="7" t="inlineStr">
        <is>
          <t>Người kiểm tra (Auditor)</t>
        </is>
      </c>
      <c r="C19" s="8" t="inlineStr">
        <is>
          <t>Trưởng ban Phân tích &amp; Thẩm định</t>
        </is>
      </c>
      <c r="D19" s="8" t="inlineStr">
        <is>
          <t>QA Manager / PM Lead</t>
        </is>
      </c>
      <c r="E19" s="8" t="inlineStr"/>
      <c r="F19" s="8" t="inlineStr">
        <is>
          <t>2026-09-01</t>
        </is>
      </c>
    </row>
    <row r="20">
      <c r="B20" s="7" t="inlineStr">
        <is>
          <t>Người phê duyệt (Approver)</t>
        </is>
      </c>
      <c r="C20" s="8" t="inlineStr">
        <is>
          <t>Giám đốc Trung tâm Kỹ nghệ</t>
        </is>
      </c>
      <c r="D20" s="8" t="inlineStr">
        <is>
          <t>Head of Engineering / Director</t>
        </is>
      </c>
      <c r="E20" s="8" t="inlineStr"/>
      <c r="F20" s="8" t="inlineStr">
        <is>
          <t>2026-09-01</t>
        </is>
      </c>
    </row>
  </sheetData>
  <mergeCells count="3">
    <mergeCell ref="A7:I7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27" customWidth="1" min="4" max="4"/>
    <col width="45" customWidth="1" min="5" max="5"/>
    <col width="24" customWidth="1" min="6" max="6"/>
  </cols>
  <sheetData>
    <row r="1"/>
    <row r="2">
      <c r="A2" s="9" t="inlineStr">
        <is>
          <t>BẢNG GHI NHẬN THAY ĐỔI TÀI LIỆU ƯỚC LƯỢNG NỖ LỰC</t>
        </is>
      </c>
    </row>
    <row r="3"/>
    <row r="4">
      <c r="A4" s="6" t="inlineStr">
        <is>
          <t>STT</t>
        </is>
      </c>
      <c r="B4" s="6" t="inlineStr">
        <is>
          <t>Phiên bản</t>
        </is>
      </c>
      <c r="C4" s="6" t="inlineStr">
        <is>
          <t>Ngày thay đổi</t>
        </is>
      </c>
      <c r="D4" s="6" t="inlineStr">
        <is>
          <t>Người thực hiện</t>
        </is>
      </c>
      <c r="E4" s="6" t="inlineStr">
        <is>
          <t>Nội dung thay đổi</t>
        </is>
      </c>
      <c r="F4" s="6" t="inlineStr">
        <is>
          <t>Người phê duyệt</t>
        </is>
      </c>
    </row>
    <row r="5">
      <c r="A5" s="10" t="n">
        <v>1</v>
      </c>
      <c r="B5" s="10" t="inlineStr">
        <is>
          <t>1.0</t>
        </is>
      </c>
      <c r="C5" s="10" t="inlineStr">
        <is>
          <t>2026-09-01</t>
        </is>
      </c>
      <c r="D5" s="8" t="inlineStr">
        <is>
          <t>Kỹ sư Điều phối Hệ thống</t>
        </is>
      </c>
      <c r="E5" s="8" t="inlineStr">
        <is>
          <t>Khởi tạo ước lượng nỗ lực toàn diện 5 phân hệ dự án Mibid</t>
        </is>
      </c>
      <c r="F5" s="8" t="inlineStr">
        <is>
          <t>Giám đốc Khối Kỹ nghệ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</cols>
  <sheetData>
    <row r="1"/>
    <row r="2"/>
    <row r="3">
      <c r="B3" s="9" t="inlineStr">
        <is>
          <t>DANH MỤC ĐỊNH NGHĨA MÃ LOẠI CHỨC NĂNG</t>
        </is>
      </c>
    </row>
    <row r="4"/>
    <row r="5">
      <c r="B5" s="11" t="inlineStr">
        <is>
          <t>Function_code</t>
        </is>
      </c>
      <c r="C5" s="11" t="inlineStr">
        <is>
          <t>Function_type_name</t>
        </is>
      </c>
    </row>
    <row r="6">
      <c r="B6" s="7" t="inlineStr">
        <is>
          <t>NVJ1-PTM</t>
        </is>
      </c>
      <c r="C6" s="8" t="inlineStr">
        <is>
          <t>Xử lý nghiệp vụ đơn giản phát triển mới (Backend Java)</t>
        </is>
      </c>
    </row>
    <row r="7">
      <c r="B7" s="7" t="inlineStr">
        <is>
          <t>NVJ2-PTM</t>
        </is>
      </c>
      <c r="C7" s="8" t="inlineStr">
        <is>
          <t>Xử lý nghiệp vụ trung bình phát triển mới (Backend Java)</t>
        </is>
      </c>
    </row>
    <row r="8">
      <c r="B8" s="7" t="inlineStr">
        <is>
          <t>NVJ3-PTM</t>
        </is>
      </c>
      <c r="C8" s="8" t="inlineStr">
        <is>
          <t>Xử lý nghiệp vụ phức tạp phát triển mới (Backend Java)</t>
        </is>
      </c>
    </row>
    <row r="9">
      <c r="B9" s="7" t="inlineStr">
        <is>
          <t>GD_WEB1</t>
        </is>
      </c>
      <c r="C9" s="8" t="inlineStr">
        <is>
          <t>Màn hình Web đơn giản (chỉ UI React)</t>
        </is>
      </c>
    </row>
    <row r="10">
      <c r="B10" s="7" t="inlineStr">
        <is>
          <t>GD_WEB2</t>
        </is>
      </c>
      <c r="C10" s="8" t="inlineStr">
        <is>
          <t>Màn hình Web trung bình (chỉ UI React)</t>
        </is>
      </c>
    </row>
    <row r="11">
      <c r="B11" s="7" t="inlineStr">
        <is>
          <t>GD_WEB3</t>
        </is>
      </c>
      <c r="C11" s="8" t="inlineStr">
        <is>
          <t>Màn hình Web phức tạp (chỉ UI React)</t>
        </is>
      </c>
    </row>
    <row r="12">
      <c r="B12" s="7" t="inlineStr">
        <is>
          <t>CN_WEB_KT</t>
        </is>
      </c>
      <c r="C12" s="8" t="inlineStr">
        <is>
          <t>Chức năng kéo thả đồ họa (Kanban Drag &amp; Drop)</t>
        </is>
      </c>
    </row>
    <row r="13">
      <c r="B13" s="7" t="inlineStr">
        <is>
          <t>BC1</t>
        </is>
      </c>
      <c r="C13" s="8" t="inlineStr">
        <is>
          <t>Thiết kế báo cáo đơn giản</t>
        </is>
      </c>
    </row>
    <row r="14">
      <c r="B14" s="7" t="inlineStr">
        <is>
          <t>BC2</t>
        </is>
      </c>
      <c r="C14" s="8" t="inlineStr">
        <is>
          <t>Thiết kế báo cáo trung bình</t>
        </is>
      </c>
    </row>
    <row r="15">
      <c r="B15" s="7" t="inlineStr">
        <is>
          <t>BC3</t>
        </is>
      </c>
      <c r="C15" s="8" t="inlineStr">
        <is>
          <t>Thiết kế báo cáo phức tạp</t>
        </is>
      </c>
    </row>
    <row r="16">
      <c r="B16" s="7" t="inlineStr">
        <is>
          <t>DM1</t>
        </is>
      </c>
      <c r="C16" s="8" t="inlineStr">
        <is>
          <t>Quản lý danh mục đơn giản</t>
        </is>
      </c>
    </row>
    <row r="17">
      <c r="B17" s="7" t="inlineStr">
        <is>
          <t>DM2</t>
        </is>
      </c>
      <c r="C17" s="8" t="inlineStr">
        <is>
          <t>Quản lý danh mục trung bình</t>
        </is>
      </c>
    </row>
    <row r="18">
      <c r="B18" s="7" t="inlineStr">
        <is>
          <t>DP_AGG1</t>
        </is>
      </c>
      <c r="C18" s="8" t="inlineStr">
        <is>
          <t>Batch Job / Tiến trình chạy ngầm định kỳ đơn giản</t>
        </is>
      </c>
    </row>
    <row r="19">
      <c r="B19" s="7" t="inlineStr">
        <is>
          <t>DP_AGG2</t>
        </is>
      </c>
      <c r="C19" s="8" t="inlineStr">
        <is>
          <t>Batch Job / Tiến trình chạy ngầm định kỳ trung bình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0" customWidth="1" min="4" max="4"/>
    <col width="14" customWidth="1" min="5" max="5"/>
  </cols>
  <sheetData>
    <row r="1"/>
    <row r="2"/>
    <row r="3">
      <c r="B3" s="9" t="inlineStr">
        <is>
          <t>CƠ SỞ DỮ LIỆU ĐỊNH MỨC NỖ LỰC VIETTEL (MAN-HOURS)</t>
        </is>
      </c>
    </row>
    <row r="4"/>
    <row r="5">
      <c r="B5" s="6" t="inlineStr">
        <is>
          <t>Mã loại</t>
        </is>
      </c>
      <c r="C5" s="6" t="inlineStr">
        <is>
          <t>Công đoạn</t>
        </is>
      </c>
      <c r="D5" s="6" t="inlineStr">
        <is>
          <t>Khóa ghép nối</t>
        </is>
      </c>
      <c r="E5" s="6" t="inlineStr">
        <is>
          <t>Định mức MH</t>
        </is>
      </c>
    </row>
    <row r="6">
      <c r="B6" s="8" t="inlineStr">
        <is>
          <t>NVJ1-PTM</t>
        </is>
      </c>
      <c r="C6" s="8" t="inlineStr">
        <is>
          <t>Solution</t>
        </is>
      </c>
      <c r="D6" s="7" t="inlineStr">
        <is>
          <t>NVJ1-PTMSolution</t>
        </is>
      </c>
      <c r="E6" s="8" t="n">
        <v>4</v>
      </c>
    </row>
    <row r="7">
      <c r="B7" s="8" t="inlineStr">
        <is>
          <t>NVJ1-PTM</t>
        </is>
      </c>
      <c r="C7" s="8" t="inlineStr">
        <is>
          <t>Develop</t>
        </is>
      </c>
      <c r="D7" s="7" t="inlineStr">
        <is>
          <t>NVJ1-PTMDevelop</t>
        </is>
      </c>
      <c r="E7" s="8" t="n">
        <v>16</v>
      </c>
    </row>
    <row r="8">
      <c r="B8" s="8" t="inlineStr">
        <is>
          <t>NVJ1-PTM</t>
        </is>
      </c>
      <c r="C8" s="8" t="inlineStr">
        <is>
          <t>Testing</t>
        </is>
      </c>
      <c r="D8" s="7" t="inlineStr">
        <is>
          <t>NVJ1-PTMTesting</t>
        </is>
      </c>
      <c r="E8" s="8" t="n">
        <v>8</v>
      </c>
    </row>
    <row r="9">
      <c r="B9" s="8" t="inlineStr">
        <is>
          <t>NVJ2-PTM</t>
        </is>
      </c>
      <c r="C9" s="8" t="inlineStr">
        <is>
          <t>Solution</t>
        </is>
      </c>
      <c r="D9" s="7" t="inlineStr">
        <is>
          <t>NVJ2-PTMSolution</t>
        </is>
      </c>
      <c r="E9" s="8" t="n">
        <v>7</v>
      </c>
    </row>
    <row r="10">
      <c r="B10" s="8" t="inlineStr">
        <is>
          <t>NVJ2-PTM</t>
        </is>
      </c>
      <c r="C10" s="8" t="inlineStr">
        <is>
          <t>Develop</t>
        </is>
      </c>
      <c r="D10" s="7" t="inlineStr">
        <is>
          <t>NVJ2-PTMDevelop</t>
        </is>
      </c>
      <c r="E10" s="8" t="n">
        <v>23</v>
      </c>
    </row>
    <row r="11">
      <c r="B11" s="8" t="inlineStr">
        <is>
          <t>NVJ2-PTM</t>
        </is>
      </c>
      <c r="C11" s="8" t="inlineStr">
        <is>
          <t>Testing</t>
        </is>
      </c>
      <c r="D11" s="7" t="inlineStr">
        <is>
          <t>NVJ2-PTMTesting</t>
        </is>
      </c>
      <c r="E11" s="8" t="n">
        <v>14</v>
      </c>
    </row>
    <row r="12">
      <c r="B12" s="8" t="inlineStr">
        <is>
          <t>NVJ3-PTM</t>
        </is>
      </c>
      <c r="C12" s="8" t="inlineStr">
        <is>
          <t>Solution</t>
        </is>
      </c>
      <c r="D12" s="7" t="inlineStr">
        <is>
          <t>NVJ3-PTMSolution</t>
        </is>
      </c>
      <c r="E12" s="8" t="n">
        <v>12</v>
      </c>
    </row>
    <row r="13">
      <c r="B13" s="8" t="inlineStr">
        <is>
          <t>NVJ3-PTM</t>
        </is>
      </c>
      <c r="C13" s="8" t="inlineStr">
        <is>
          <t>Develop</t>
        </is>
      </c>
      <c r="D13" s="7" t="inlineStr">
        <is>
          <t>NVJ3-PTMDevelop</t>
        </is>
      </c>
      <c r="E13" s="8" t="n">
        <v>30</v>
      </c>
    </row>
    <row r="14">
      <c r="B14" s="8" t="inlineStr">
        <is>
          <t>NVJ3-PTM</t>
        </is>
      </c>
      <c r="C14" s="8" t="inlineStr">
        <is>
          <t>Testing</t>
        </is>
      </c>
      <c r="D14" s="7" t="inlineStr">
        <is>
          <t>NVJ3-PTMTesting</t>
        </is>
      </c>
      <c r="E14" s="8" t="n">
        <v>23</v>
      </c>
    </row>
    <row r="15">
      <c r="B15" s="8" t="inlineStr">
        <is>
          <t>GD_WEB1</t>
        </is>
      </c>
      <c r="C15" s="8" t="inlineStr">
        <is>
          <t>Solution</t>
        </is>
      </c>
      <c r="D15" s="7" t="inlineStr">
        <is>
          <t>GD_WEB1Solution</t>
        </is>
      </c>
      <c r="E15" s="8" t="n">
        <v>3</v>
      </c>
    </row>
    <row r="16">
      <c r="B16" s="8" t="inlineStr">
        <is>
          <t>GD_WEB1</t>
        </is>
      </c>
      <c r="C16" s="8" t="inlineStr">
        <is>
          <t>Develop</t>
        </is>
      </c>
      <c r="D16" s="7" t="inlineStr">
        <is>
          <t>GD_WEB1Develop</t>
        </is>
      </c>
      <c r="E16" s="8" t="n">
        <v>8</v>
      </c>
    </row>
    <row r="17">
      <c r="B17" s="8" t="inlineStr">
        <is>
          <t>GD_WEB1</t>
        </is>
      </c>
      <c r="C17" s="8" t="inlineStr">
        <is>
          <t>Testing</t>
        </is>
      </c>
      <c r="D17" s="7" t="inlineStr">
        <is>
          <t>GD_WEB1Testing</t>
        </is>
      </c>
      <c r="E17" s="8" t="n">
        <v>15</v>
      </c>
    </row>
    <row r="18">
      <c r="B18" s="8" t="inlineStr">
        <is>
          <t>GD_WEB2</t>
        </is>
      </c>
      <c r="C18" s="8" t="inlineStr">
        <is>
          <t>Solution</t>
        </is>
      </c>
      <c r="D18" s="7" t="inlineStr">
        <is>
          <t>GD_WEB2Solution</t>
        </is>
      </c>
      <c r="E18" s="8" t="n">
        <v>4</v>
      </c>
    </row>
    <row r="19">
      <c r="B19" s="8" t="inlineStr">
        <is>
          <t>GD_WEB2</t>
        </is>
      </c>
      <c r="C19" s="8" t="inlineStr">
        <is>
          <t>Develop</t>
        </is>
      </c>
      <c r="D19" s="7" t="inlineStr">
        <is>
          <t>GD_WEB2Develop</t>
        </is>
      </c>
      <c r="E19" s="8" t="n">
        <v>12</v>
      </c>
    </row>
    <row r="20">
      <c r="B20" s="8" t="inlineStr">
        <is>
          <t>GD_WEB2</t>
        </is>
      </c>
      <c r="C20" s="8" t="inlineStr">
        <is>
          <t>Testing</t>
        </is>
      </c>
      <c r="D20" s="7" t="inlineStr">
        <is>
          <t>GD_WEB2Testing</t>
        </is>
      </c>
      <c r="E20" s="8" t="n">
        <v>23</v>
      </c>
    </row>
    <row r="21">
      <c r="B21" s="8" t="inlineStr">
        <is>
          <t>GD_WEB3</t>
        </is>
      </c>
      <c r="C21" s="8" t="inlineStr">
        <is>
          <t>Solution</t>
        </is>
      </c>
      <c r="D21" s="7" t="inlineStr">
        <is>
          <t>GD_WEB3Solution</t>
        </is>
      </c>
      <c r="E21" s="8" t="n">
        <v>6</v>
      </c>
    </row>
    <row r="22">
      <c r="B22" s="8" t="inlineStr">
        <is>
          <t>GD_WEB3</t>
        </is>
      </c>
      <c r="C22" s="8" t="inlineStr">
        <is>
          <t>Develop</t>
        </is>
      </c>
      <c r="D22" s="7" t="inlineStr">
        <is>
          <t>GD_WEB3Develop</t>
        </is>
      </c>
      <c r="E22" s="8" t="n">
        <v>16</v>
      </c>
    </row>
    <row r="23">
      <c r="B23" s="8" t="inlineStr">
        <is>
          <t>GD_WEB3</t>
        </is>
      </c>
      <c r="C23" s="8" t="inlineStr">
        <is>
          <t>Testing</t>
        </is>
      </c>
      <c r="D23" s="7" t="inlineStr">
        <is>
          <t>GD_WEB3Testing</t>
        </is>
      </c>
      <c r="E23" s="8" t="n">
        <v>31</v>
      </c>
    </row>
    <row r="24">
      <c r="B24" s="8" t="inlineStr">
        <is>
          <t>CN_WEB_KT</t>
        </is>
      </c>
      <c r="C24" s="8" t="inlineStr">
        <is>
          <t>Solution</t>
        </is>
      </c>
      <c r="D24" s="7" t="inlineStr">
        <is>
          <t>CN_WEB_KTSolution</t>
        </is>
      </c>
      <c r="E24" s="8" t="n">
        <v>8</v>
      </c>
    </row>
    <row r="25">
      <c r="B25" s="8" t="inlineStr">
        <is>
          <t>CN_WEB_KT</t>
        </is>
      </c>
      <c r="C25" s="8" t="inlineStr">
        <is>
          <t>Develop</t>
        </is>
      </c>
      <c r="D25" s="7" t="inlineStr">
        <is>
          <t>CN_WEB_KTDevelop</t>
        </is>
      </c>
      <c r="E25" s="8" t="n">
        <v>48</v>
      </c>
    </row>
    <row r="26">
      <c r="B26" s="8" t="inlineStr">
        <is>
          <t>CN_WEB_KT</t>
        </is>
      </c>
      <c r="C26" s="8" t="inlineStr">
        <is>
          <t>Testing</t>
        </is>
      </c>
      <c r="D26" s="7" t="inlineStr">
        <is>
          <t>CN_WEB_KTTesting</t>
        </is>
      </c>
      <c r="E26" s="8" t="n">
        <v>16</v>
      </c>
    </row>
    <row r="27">
      <c r="B27" s="8" t="inlineStr">
        <is>
          <t>BC1</t>
        </is>
      </c>
      <c r="C27" s="8" t="inlineStr">
        <is>
          <t>Solution</t>
        </is>
      </c>
      <c r="D27" s="7" t="inlineStr">
        <is>
          <t>BC1Solution</t>
        </is>
      </c>
      <c r="E27" s="8" t="n">
        <v>6</v>
      </c>
    </row>
    <row r="28">
      <c r="B28" s="8" t="inlineStr">
        <is>
          <t>BC1</t>
        </is>
      </c>
      <c r="C28" s="8" t="inlineStr">
        <is>
          <t>Develop</t>
        </is>
      </c>
      <c r="D28" s="7" t="inlineStr">
        <is>
          <t>BC1Develop</t>
        </is>
      </c>
      <c r="E28" s="8" t="n">
        <v>7</v>
      </c>
    </row>
    <row r="29">
      <c r="B29" s="8" t="inlineStr">
        <is>
          <t>BC1</t>
        </is>
      </c>
      <c r="C29" s="8" t="inlineStr">
        <is>
          <t>Testing</t>
        </is>
      </c>
      <c r="D29" s="7" t="inlineStr">
        <is>
          <t>BC1Testing</t>
        </is>
      </c>
      <c r="E29" s="8" t="n">
        <v>6</v>
      </c>
    </row>
    <row r="30">
      <c r="B30" s="8" t="inlineStr">
        <is>
          <t>BC2</t>
        </is>
      </c>
      <c r="C30" s="8" t="inlineStr">
        <is>
          <t>Solution</t>
        </is>
      </c>
      <c r="D30" s="7" t="inlineStr">
        <is>
          <t>BC2Solution</t>
        </is>
      </c>
      <c r="E30" s="8" t="n">
        <v>10</v>
      </c>
    </row>
    <row r="31">
      <c r="B31" s="8" t="inlineStr">
        <is>
          <t>BC2</t>
        </is>
      </c>
      <c r="C31" s="8" t="inlineStr">
        <is>
          <t>Develop</t>
        </is>
      </c>
      <c r="D31" s="7" t="inlineStr">
        <is>
          <t>BC2Develop</t>
        </is>
      </c>
      <c r="E31" s="8" t="n">
        <v>10</v>
      </c>
    </row>
    <row r="32">
      <c r="B32" s="8" t="inlineStr">
        <is>
          <t>BC2</t>
        </is>
      </c>
      <c r="C32" s="8" t="inlineStr">
        <is>
          <t>Testing</t>
        </is>
      </c>
      <c r="D32" s="7" t="inlineStr">
        <is>
          <t>BC2Testing</t>
        </is>
      </c>
      <c r="E32" s="8" t="n">
        <v>14</v>
      </c>
    </row>
    <row r="33">
      <c r="B33" s="8" t="inlineStr">
        <is>
          <t>BC3</t>
        </is>
      </c>
      <c r="C33" s="8" t="inlineStr">
        <is>
          <t>Solution</t>
        </is>
      </c>
      <c r="D33" s="7" t="inlineStr">
        <is>
          <t>BC3Solution</t>
        </is>
      </c>
      <c r="E33" s="8" t="n">
        <v>16</v>
      </c>
    </row>
    <row r="34">
      <c r="B34" s="8" t="inlineStr">
        <is>
          <t>BC3</t>
        </is>
      </c>
      <c r="C34" s="8" t="inlineStr">
        <is>
          <t>Develop</t>
        </is>
      </c>
      <c r="D34" s="7" t="inlineStr">
        <is>
          <t>BC3Develop</t>
        </is>
      </c>
      <c r="E34" s="8" t="n">
        <v>24</v>
      </c>
    </row>
    <row r="35">
      <c r="B35" s="8" t="inlineStr">
        <is>
          <t>BC3</t>
        </is>
      </c>
      <c r="C35" s="8" t="inlineStr">
        <is>
          <t>Testing</t>
        </is>
      </c>
      <c r="D35" s="7" t="inlineStr">
        <is>
          <t>BC3Testing</t>
        </is>
      </c>
      <c r="E35" s="8" t="n">
        <v>24</v>
      </c>
    </row>
    <row r="36">
      <c r="B36" s="8" t="inlineStr">
        <is>
          <t>DM1</t>
        </is>
      </c>
      <c r="C36" s="8" t="inlineStr">
        <is>
          <t>Solution</t>
        </is>
      </c>
      <c r="D36" s="7" t="inlineStr">
        <is>
          <t>DM1Solution</t>
        </is>
      </c>
      <c r="E36" s="8" t="n">
        <v>1.5</v>
      </c>
    </row>
    <row r="37">
      <c r="B37" s="8" t="inlineStr">
        <is>
          <t>DM1</t>
        </is>
      </c>
      <c r="C37" s="8" t="inlineStr">
        <is>
          <t>Develop</t>
        </is>
      </c>
      <c r="D37" s="7" t="inlineStr">
        <is>
          <t>DM1Develop</t>
        </is>
      </c>
      <c r="E37" s="8" t="n">
        <v>3</v>
      </c>
    </row>
    <row r="38">
      <c r="B38" s="8" t="inlineStr">
        <is>
          <t>DM1</t>
        </is>
      </c>
      <c r="C38" s="8" t="inlineStr">
        <is>
          <t>Testing</t>
        </is>
      </c>
      <c r="D38" s="7" t="inlineStr">
        <is>
          <t>DM1Testing</t>
        </is>
      </c>
      <c r="E38" s="8" t="n">
        <v>3.5</v>
      </c>
    </row>
    <row r="39">
      <c r="B39" s="8" t="inlineStr">
        <is>
          <t>DM2</t>
        </is>
      </c>
      <c r="C39" s="8" t="inlineStr">
        <is>
          <t>Solution</t>
        </is>
      </c>
      <c r="D39" s="7" t="inlineStr">
        <is>
          <t>DM2Solution</t>
        </is>
      </c>
      <c r="E39" s="8" t="n">
        <v>4.5</v>
      </c>
    </row>
    <row r="40">
      <c r="B40" s="8" t="inlineStr">
        <is>
          <t>DM2</t>
        </is>
      </c>
      <c r="C40" s="8" t="inlineStr">
        <is>
          <t>Develop</t>
        </is>
      </c>
      <c r="D40" s="7" t="inlineStr">
        <is>
          <t>DM2Develop</t>
        </is>
      </c>
      <c r="E40" s="8" t="n">
        <v>9</v>
      </c>
    </row>
    <row r="41">
      <c r="B41" s="8" t="inlineStr">
        <is>
          <t>DM2</t>
        </is>
      </c>
      <c r="C41" s="8" t="inlineStr">
        <is>
          <t>Testing</t>
        </is>
      </c>
      <c r="D41" s="7" t="inlineStr">
        <is>
          <t>DM2Testing</t>
        </is>
      </c>
      <c r="E41" s="8" t="n">
        <v>7.5</v>
      </c>
    </row>
    <row r="42">
      <c r="B42" s="8" t="inlineStr">
        <is>
          <t>DP_AGG1</t>
        </is>
      </c>
      <c r="C42" s="8" t="inlineStr">
        <is>
          <t>Solution</t>
        </is>
      </c>
      <c r="D42" s="7" t="inlineStr">
        <is>
          <t>DP_AGG1Solution</t>
        </is>
      </c>
      <c r="E42" s="8" t="n">
        <v>6</v>
      </c>
    </row>
    <row r="43">
      <c r="B43" s="8" t="inlineStr">
        <is>
          <t>DP_AGG1</t>
        </is>
      </c>
      <c r="C43" s="8" t="inlineStr">
        <is>
          <t>Develop</t>
        </is>
      </c>
      <c r="D43" s="7" t="inlineStr">
        <is>
          <t>DP_AGG1Develop</t>
        </is>
      </c>
      <c r="E43" s="8" t="n">
        <v>6</v>
      </c>
    </row>
    <row r="44">
      <c r="B44" s="8" t="inlineStr">
        <is>
          <t>DP_AGG1</t>
        </is>
      </c>
      <c r="C44" s="8" t="inlineStr">
        <is>
          <t>Testing</t>
        </is>
      </c>
      <c r="D44" s="7" t="inlineStr">
        <is>
          <t>DP_AGG1Testing</t>
        </is>
      </c>
      <c r="E44" s="8" t="n">
        <v>5.5</v>
      </c>
    </row>
    <row r="45">
      <c r="B45" s="8" t="inlineStr">
        <is>
          <t>DP_AGG2</t>
        </is>
      </c>
      <c r="C45" s="8" t="inlineStr">
        <is>
          <t>Solution</t>
        </is>
      </c>
      <c r="D45" s="7" t="inlineStr">
        <is>
          <t>DP_AGG2Solution</t>
        </is>
      </c>
      <c r="E45" s="8" t="n">
        <v>8.5</v>
      </c>
    </row>
    <row r="46">
      <c r="B46" s="8" t="inlineStr">
        <is>
          <t>DP_AGG2</t>
        </is>
      </c>
      <c r="C46" s="8" t="inlineStr">
        <is>
          <t>Develop</t>
        </is>
      </c>
      <c r="D46" s="7" t="inlineStr">
        <is>
          <t>DP_AGG2Develop</t>
        </is>
      </c>
      <c r="E46" s="8" t="n">
        <v>16</v>
      </c>
    </row>
    <row r="47">
      <c r="B47" s="8" t="inlineStr">
        <is>
          <t>DP_AGG2</t>
        </is>
      </c>
      <c r="C47" s="8" t="inlineStr">
        <is>
          <t>Testing</t>
        </is>
      </c>
      <c r="D47" s="7" t="inlineStr">
        <is>
          <t>DP_AGG2Testing</t>
        </is>
      </c>
      <c r="E47" s="8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4" customWidth="1" min="3" max="3"/>
    <col width="45" customWidth="1" min="4" max="4"/>
    <col width="45" customWidth="1" min="5" max="5"/>
    <col width="20" customWidth="1" min="6" max="6"/>
    <col width="19" customWidth="1" min="7" max="7"/>
    <col width="19" customWidth="1" min="8" max="8"/>
    <col width="17" customWidth="1" min="9" max="9"/>
    <col width="12" customWidth="1" min="10" max="10"/>
    <col width="14" customWidth="1" min="11" max="11"/>
    <col width="45" customWidth="1" min="12" max="12"/>
    <col width="45" customWidth="1" min="13" max="13"/>
    <col width="45" customWidth="1" min="14" max="14"/>
    <col width="45" customWidth="1" min="15" max="15"/>
    <col width="16" customWidth="1" min="16" max="16"/>
    <col width="20" customWidth="1" min="17" max="17"/>
    <col width="26" customWidth="1" min="18" max="18"/>
    <col width="22" customWidth="1" min="19" max="19"/>
    <col width="12" customWidth="1" min="20" max="20"/>
  </cols>
  <sheetData>
    <row r="1"/>
    <row r="2">
      <c r="A2" s="9" t="inlineStr">
        <is>
          <t>BẢNG TÍNH NỖ LỰC PHÁT TRIỂN CHỨC NĂNG (FUNCTIONAL EFFORT)</t>
        </is>
      </c>
    </row>
    <row r="3"/>
    <row r="4"/>
    <row r="5"/>
    <row r="6">
      <c r="A6" s="6" t="inlineStr">
        <is>
          <t>STT</t>
        </is>
      </c>
      <c r="B6" s="6" t="inlineStr">
        <is>
          <t>Phân hệ</t>
        </is>
      </c>
      <c r="C6" s="6" t="inlineStr">
        <is>
          <t>Nhóm chức năng</t>
        </is>
      </c>
      <c r="D6" s="6" t="inlineStr">
        <is>
          <t>Tên chức năng chi tiết</t>
        </is>
      </c>
      <c r="E6" s="6" t="inlineStr">
        <is>
          <t>Mô tả nghiệp vụ</t>
        </is>
      </c>
      <c r="F6" s="6" t="inlineStr">
        <is>
          <t>Solution_MH_Reuse</t>
        </is>
      </c>
      <c r="G6" s="6" t="inlineStr">
        <is>
          <t>Develop_MH_Reuse</t>
        </is>
      </c>
      <c r="H6" s="6" t="inlineStr">
        <is>
          <t>Testing_MH_Reuse</t>
        </is>
      </c>
      <c r="I6" s="6" t="inlineStr">
        <is>
          <t>Total_MH_Reuse</t>
        </is>
      </c>
      <c r="K6" s="6" t="inlineStr">
        <is>
          <t>Mã định mức</t>
        </is>
      </c>
      <c r="L6" s="6" t="inlineStr">
        <is>
          <t>Tên loại chức năng</t>
        </is>
      </c>
      <c r="M6" s="6" t="inlineStr">
        <is>
          <t>Solution_MH_Base</t>
        </is>
      </c>
      <c r="N6" s="6" t="inlineStr">
        <is>
          <t>Develop_MH_Base</t>
        </is>
      </c>
      <c r="O6" s="6" t="inlineStr">
        <is>
          <t>Testing_MH_Base</t>
        </is>
      </c>
      <c r="P6" s="6" t="inlineStr">
        <is>
          <t>Total_MH_Base</t>
        </is>
      </c>
      <c r="Q6" s="6" t="inlineStr">
        <is>
          <t>Tỷ lệ tái sử dụng</t>
        </is>
      </c>
      <c r="R6" s="6" t="inlineStr">
        <is>
          <t>Nỗ lực tái sử dụng (MH)</t>
        </is>
      </c>
      <c r="S6" s="6" t="inlineStr">
        <is>
          <t>Nguồn tái sử dụng</t>
        </is>
      </c>
      <c r="T6" s="6" t="inlineStr">
        <is>
          <t>Ghi chú</t>
        </is>
      </c>
    </row>
    <row r="7">
      <c r="M7" s="12" t="inlineStr">
        <is>
          <t>Solution</t>
        </is>
      </c>
      <c r="N7" s="12" t="inlineStr">
        <is>
          <t>Develop</t>
        </is>
      </c>
      <c r="O7" s="12" t="inlineStr">
        <is>
          <t>Testing</t>
        </is>
      </c>
    </row>
    <row r="8">
      <c r="A8" s="13" t="n">
        <v>1</v>
      </c>
      <c r="B8" s="14" t="inlineStr">
        <is>
          <t>Phân hệ 1</t>
        </is>
      </c>
      <c r="C8" s="14" t="inlineStr">
        <is>
          <t>Khách thuê &amp; Thuê bao</t>
        </is>
      </c>
      <c r="D8" s="14" t="inlineStr">
        <is>
          <t>Giao diện Web Quản lý Khách thuê Tenants</t>
        </is>
      </c>
      <c r="E8" s="14" t="inlineStr">
        <is>
          <t>Màn hình cấu hình khách thuê, tên miền riêng và gói cước</t>
        </is>
      </c>
      <c r="F8" s="14">
        <f>M8*(1-Q8)</f>
        <v/>
      </c>
      <c r="G8" s="14">
        <f>N8*(1-Q8)</f>
        <v/>
      </c>
      <c r="H8" s="14">
        <f>O8*(1-Q8)</f>
        <v/>
      </c>
      <c r="I8" s="14">
        <f>SUM(F8:H8)</f>
        <v/>
      </c>
      <c r="K8" s="13" t="inlineStr">
        <is>
          <t>GD_WEB2</t>
        </is>
      </c>
      <c r="L8" s="14">
        <f>VLOOKUP(K8,'Defines the type of function'!$B$6:$C$19,2,FALSE)</f>
        <v/>
      </c>
      <c r="M8" s="14">
        <f>VLOOKUP(K8&amp;$M$7,'DB function'!$D$6:$E$47,2,FALSE)</f>
        <v/>
      </c>
      <c r="N8" s="14">
        <f>VLOOKUP(K8&amp;$N$7,'DB function'!$D$6:$E$47,2,FALSE)</f>
        <v/>
      </c>
      <c r="O8" s="14">
        <f>VLOOKUP(K8&amp;$O$7,'DB function'!$D$6:$E$47,2,FALSE)</f>
        <v/>
      </c>
      <c r="P8" s="14">
        <f>SUM(M8:O8)</f>
        <v/>
      </c>
      <c r="Q8" s="15" t="n">
        <v>0</v>
      </c>
      <c r="R8" s="14">
        <f>P8*Q8</f>
        <v/>
      </c>
      <c r="S8" s="14" t="inlineStr"/>
      <c r="T8" s="14" t="inlineStr"/>
    </row>
    <row r="9">
      <c r="A9" s="13" t="n">
        <v>2</v>
      </c>
      <c r="B9" s="14" t="inlineStr">
        <is>
          <t>Phân hệ 1</t>
        </is>
      </c>
      <c r="C9" s="14" t="inlineStr">
        <is>
          <t>Khách thuê &amp; Thuê bao</t>
        </is>
      </c>
      <c r="D9" s="14" t="inlineStr">
        <is>
          <t>API Quản lý Khách thuê &amp; Gói cước SaaS</t>
        </is>
      </c>
      <c r="E9" s="14" t="inlineStr">
        <is>
          <t>Khởi tạo tenant, gán subscription plan và quản lý hạn dùng</t>
        </is>
      </c>
      <c r="F9" s="14">
        <f>M9*(1-Q9)</f>
        <v/>
      </c>
      <c r="G9" s="14">
        <f>N9*(1-Q9)</f>
        <v/>
      </c>
      <c r="H9" s="14">
        <f>O9*(1-Q9)</f>
        <v/>
      </c>
      <c r="I9" s="14">
        <f>SUM(F9:H9)</f>
        <v/>
      </c>
      <c r="K9" s="13" t="inlineStr">
        <is>
          <t>NVJ2-PTM</t>
        </is>
      </c>
      <c r="L9" s="14">
        <f>VLOOKUP(K9,'Defines the type of function'!$B$6:$C$19,2,FALSE)</f>
        <v/>
      </c>
      <c r="M9" s="14">
        <f>VLOOKUP(K9&amp;$M$7,'DB function'!$D$6:$E$47,2,FALSE)</f>
        <v/>
      </c>
      <c r="N9" s="14">
        <f>VLOOKUP(K9&amp;$N$7,'DB function'!$D$6:$E$47,2,FALSE)</f>
        <v/>
      </c>
      <c r="O9" s="14">
        <f>VLOOKUP(K9&amp;$O$7,'DB function'!$D$6:$E$47,2,FALSE)</f>
        <v/>
      </c>
      <c r="P9" s="14">
        <f>SUM(M9:O9)</f>
        <v/>
      </c>
      <c r="Q9" s="15" t="n">
        <v>0</v>
      </c>
      <c r="R9" s="14">
        <f>P9*Q9</f>
        <v/>
      </c>
      <c r="S9" s="14" t="inlineStr"/>
      <c r="T9" s="14" t="inlineStr"/>
    </row>
    <row r="10">
      <c r="A10" s="13" t="n">
        <v>3</v>
      </c>
      <c r="B10" s="14" t="inlineStr">
        <is>
          <t>Phân hệ 1</t>
        </is>
      </c>
      <c r="C10" s="14" t="inlineStr">
        <is>
          <t>IAM &amp; Người dùng</t>
        </is>
      </c>
      <c r="D10" s="14" t="inlineStr">
        <is>
          <t>Giao diện Quản lý Người dùng &amp; Vai trò</t>
        </is>
      </c>
      <c r="E10" s="14" t="inlineStr">
        <is>
          <t>Màn hình danh sách nhân viên, gán vai trò RBAC và ABAC</t>
        </is>
      </c>
      <c r="F10" s="14">
        <f>M10*(1-Q10)</f>
        <v/>
      </c>
      <c r="G10" s="14">
        <f>N10*(1-Q10)</f>
        <v/>
      </c>
      <c r="H10" s="14">
        <f>O10*(1-Q10)</f>
        <v/>
      </c>
      <c r="I10" s="14">
        <f>SUM(F10:H10)</f>
        <v/>
      </c>
      <c r="K10" s="13" t="inlineStr">
        <is>
          <t>GD_WEB2</t>
        </is>
      </c>
      <c r="L10" s="14">
        <f>VLOOKUP(K10,'Defines the type of function'!$B$6:$C$19,2,FALSE)</f>
        <v/>
      </c>
      <c r="M10" s="14">
        <f>VLOOKUP(K10&amp;$M$7,'DB function'!$D$6:$E$47,2,FALSE)</f>
        <v/>
      </c>
      <c r="N10" s="14">
        <f>VLOOKUP(K10&amp;$N$7,'DB function'!$D$6:$E$47,2,FALSE)</f>
        <v/>
      </c>
      <c r="O10" s="14">
        <f>VLOOKUP(K10&amp;$O$7,'DB function'!$D$6:$E$47,2,FALSE)</f>
        <v/>
      </c>
      <c r="P10" s="14">
        <f>SUM(M10:O10)</f>
        <v/>
      </c>
      <c r="Q10" s="15" t="n">
        <v>0</v>
      </c>
      <c r="R10" s="14">
        <f>P10*Q10</f>
        <v/>
      </c>
      <c r="S10" s="14" t="inlineStr"/>
      <c r="T10" s="14" t="inlineStr"/>
    </row>
    <row r="11">
      <c r="A11" s="13" t="n">
        <v>4</v>
      </c>
      <c r="B11" s="14" t="inlineStr">
        <is>
          <t>Phân hệ 1</t>
        </is>
      </c>
      <c r="C11" s="14" t="inlineStr">
        <is>
          <t>IAM &amp; Người dùng</t>
        </is>
      </c>
      <c r="D11" s="14" t="inlineStr">
        <is>
          <t>API Xác thực JWT &amp; Phân quyền lai</t>
        </is>
      </c>
      <c r="E11" s="14" t="inlineStr">
        <is>
          <t>Đăng nhập, sinh Access/Refresh Token, phân quyền theo tenant</t>
        </is>
      </c>
      <c r="F11" s="14">
        <f>M11*(1-Q11)</f>
        <v/>
      </c>
      <c r="G11" s="14">
        <f>N11*(1-Q11)</f>
        <v/>
      </c>
      <c r="H11" s="14">
        <f>O11*(1-Q11)</f>
        <v/>
      </c>
      <c r="I11" s="14">
        <f>SUM(F11:H11)</f>
        <v/>
      </c>
      <c r="K11" s="13" t="inlineStr">
        <is>
          <t>NVJ2-PTM</t>
        </is>
      </c>
      <c r="L11" s="14">
        <f>VLOOKUP(K11,'Defines the type of function'!$B$6:$C$19,2,FALSE)</f>
        <v/>
      </c>
      <c r="M11" s="14">
        <f>VLOOKUP(K11&amp;$M$7,'DB function'!$D$6:$E$47,2,FALSE)</f>
        <v/>
      </c>
      <c r="N11" s="14">
        <f>VLOOKUP(K11&amp;$N$7,'DB function'!$D$6:$E$47,2,FALSE)</f>
        <v/>
      </c>
      <c r="O11" s="14">
        <f>VLOOKUP(K11&amp;$O$7,'DB function'!$D$6:$E$47,2,FALSE)</f>
        <v/>
      </c>
      <c r="P11" s="14">
        <f>SUM(M11:O11)</f>
        <v/>
      </c>
      <c r="Q11" s="15" t="n">
        <v>0.1</v>
      </c>
      <c r="R11" s="14">
        <f>P11*Q11</f>
        <v/>
      </c>
      <c r="S11" s="14" t="inlineStr">
        <is>
          <t>Nền tảng Mibid Core</t>
        </is>
      </c>
      <c r="T11" s="14" t="inlineStr"/>
    </row>
    <row r="12">
      <c r="A12" s="13" t="n">
        <v>5</v>
      </c>
      <c r="B12" s="14" t="inlineStr">
        <is>
          <t>Phân hệ 1</t>
        </is>
      </c>
      <c r="C12" s="14" t="inlineStr">
        <is>
          <t>Kho Tài liệu DMS</t>
        </is>
      </c>
      <c r="D12" s="14" t="inlineStr">
        <is>
          <t>Giao diện Kho Chứng từ Dự án</t>
        </is>
      </c>
      <c r="E12" s="14" t="inlineStr">
        <is>
          <t>Cây thư mục phân loại chứng từ, upload kéo thả file</t>
        </is>
      </c>
      <c r="F12" s="14">
        <f>M12*(1-Q12)</f>
        <v/>
      </c>
      <c r="G12" s="14">
        <f>N12*(1-Q12)</f>
        <v/>
      </c>
      <c r="H12" s="14">
        <f>O12*(1-Q12)</f>
        <v/>
      </c>
      <c r="I12" s="14">
        <f>SUM(F12:H12)</f>
        <v/>
      </c>
      <c r="K12" s="13" t="inlineStr">
        <is>
          <t>GD_WEB2</t>
        </is>
      </c>
      <c r="L12" s="14">
        <f>VLOOKUP(K12,'Defines the type of function'!$B$6:$C$19,2,FALSE)</f>
        <v/>
      </c>
      <c r="M12" s="14">
        <f>VLOOKUP(K12&amp;$M$7,'DB function'!$D$6:$E$47,2,FALSE)</f>
        <v/>
      </c>
      <c r="N12" s="14">
        <f>VLOOKUP(K12&amp;$N$7,'DB function'!$D$6:$E$47,2,FALSE)</f>
        <v/>
      </c>
      <c r="O12" s="14">
        <f>VLOOKUP(K12&amp;$O$7,'DB function'!$D$6:$E$47,2,FALSE)</f>
        <v/>
      </c>
      <c r="P12" s="14">
        <f>SUM(M12:O12)</f>
        <v/>
      </c>
      <c r="Q12" s="15" t="n">
        <v>0</v>
      </c>
      <c r="R12" s="14">
        <f>P12*Q12</f>
        <v/>
      </c>
      <c r="S12" s="14" t="inlineStr"/>
      <c r="T12" s="14" t="inlineStr"/>
    </row>
    <row r="13">
      <c r="A13" s="13" t="n">
        <v>6</v>
      </c>
      <c r="B13" s="14" t="inlineStr">
        <is>
          <t>Phân hệ 1</t>
        </is>
      </c>
      <c r="C13" s="14" t="inlineStr">
        <is>
          <t>Kho Tài liệu DMS</t>
        </is>
      </c>
      <c r="D13" s="14" t="inlineStr">
        <is>
          <t>API DMS Pre-signed URL S3 &amp; Phê duyệt</t>
        </is>
      </c>
      <c r="E13" s="14" t="inlineStr">
        <is>
          <t>Tạo URL ký số S3, quy trình phê duyệt tài liệu và versioning</t>
        </is>
      </c>
      <c r="F13" s="14">
        <f>M13*(1-Q13)</f>
        <v/>
      </c>
      <c r="G13" s="14">
        <f>N13*(1-Q13)</f>
        <v/>
      </c>
      <c r="H13" s="14">
        <f>O13*(1-Q13)</f>
        <v/>
      </c>
      <c r="I13" s="14">
        <f>SUM(F13:H13)</f>
        <v/>
      </c>
      <c r="K13" s="13" t="inlineStr">
        <is>
          <t>NVJ3-PTM</t>
        </is>
      </c>
      <c r="L13" s="14">
        <f>VLOOKUP(K13,'Defines the type of function'!$B$6:$C$19,2,FALSE)</f>
        <v/>
      </c>
      <c r="M13" s="14">
        <f>VLOOKUP(K13&amp;$M$7,'DB function'!$D$6:$E$47,2,FALSE)</f>
        <v/>
      </c>
      <c r="N13" s="14">
        <f>VLOOKUP(K13&amp;$N$7,'DB function'!$D$6:$E$47,2,FALSE)</f>
        <v/>
      </c>
      <c r="O13" s="14">
        <f>VLOOKUP(K13&amp;$O$7,'DB function'!$D$6:$E$47,2,FALSE)</f>
        <v/>
      </c>
      <c r="P13" s="14">
        <f>SUM(M13:O13)</f>
        <v/>
      </c>
      <c r="Q13" s="15" t="n">
        <v>0</v>
      </c>
      <c r="R13" s="14">
        <f>P13*Q13</f>
        <v/>
      </c>
      <c r="S13" s="14" t="inlineStr"/>
      <c r="T13" s="14" t="inlineStr"/>
    </row>
    <row r="14">
      <c r="A14" s="13" t="n">
        <v>7</v>
      </c>
      <c r="B14" s="14" t="inlineStr">
        <is>
          <t>Phân hệ 2</t>
        </is>
      </c>
      <c r="C14" s="14" t="inlineStr">
        <is>
          <t>Quy trình Động</t>
        </is>
      </c>
      <c r="D14" s="14" t="inlineStr">
        <is>
          <t>Giao diện Thiết lập Mẫu Quy trình Workflow</t>
        </is>
      </c>
      <c r="E14" s="14" t="inlineStr">
        <is>
          <t>Cấu hình danh sách bước và quy tắc tài liệu yêu cầu</t>
        </is>
      </c>
      <c r="F14" s="14">
        <f>M14*(1-Q14)</f>
        <v/>
      </c>
      <c r="G14" s="14">
        <f>N14*(1-Q14)</f>
        <v/>
      </c>
      <c r="H14" s="14">
        <f>O14*(1-Q14)</f>
        <v/>
      </c>
      <c r="I14" s="14">
        <f>SUM(F14:H14)</f>
        <v/>
      </c>
      <c r="K14" s="13" t="inlineStr">
        <is>
          <t>GD_WEB2</t>
        </is>
      </c>
      <c r="L14" s="14">
        <f>VLOOKUP(K14,'Defines the type of function'!$B$6:$C$19,2,FALSE)</f>
        <v/>
      </c>
      <c r="M14" s="14">
        <f>VLOOKUP(K14&amp;$M$7,'DB function'!$D$6:$E$47,2,FALSE)</f>
        <v/>
      </c>
      <c r="N14" s="14">
        <f>VLOOKUP(K14&amp;$N$7,'DB function'!$D$6:$E$47,2,FALSE)</f>
        <v/>
      </c>
      <c r="O14" s="14">
        <f>VLOOKUP(K14&amp;$O$7,'DB function'!$D$6:$E$47,2,FALSE)</f>
        <v/>
      </c>
      <c r="P14" s="14">
        <f>SUM(M14:O14)</f>
        <v/>
      </c>
      <c r="Q14" s="15" t="n">
        <v>0</v>
      </c>
      <c r="R14" s="14">
        <f>P14*Q14</f>
        <v/>
      </c>
      <c r="S14" s="14" t="inlineStr"/>
      <c r="T14" s="14" t="inlineStr"/>
    </row>
    <row r="15">
      <c r="A15" s="13" t="n">
        <v>8</v>
      </c>
      <c r="B15" s="14" t="inlineStr">
        <is>
          <t>Phân hệ 2</t>
        </is>
      </c>
      <c r="C15" s="14" t="inlineStr">
        <is>
          <t>Quy trình Động</t>
        </is>
      </c>
      <c r="D15" s="14" t="inlineStr">
        <is>
          <t>Bảng Kanban Kéo Thả Trực Quan</t>
        </is>
      </c>
      <c r="E15" s="14" t="inlineStr">
        <is>
          <t>Giao diện Kanban kéo thẻ dự án, kiểm tra vi phạm chốt chặn</t>
        </is>
      </c>
      <c r="F15" s="14">
        <f>M15*(1-Q15)</f>
        <v/>
      </c>
      <c r="G15" s="14">
        <f>N15*(1-Q15)</f>
        <v/>
      </c>
      <c r="H15" s="14">
        <f>O15*(1-Q15)</f>
        <v/>
      </c>
      <c r="I15" s="14">
        <f>SUM(F15:H15)</f>
        <v/>
      </c>
      <c r="K15" s="13" t="inlineStr">
        <is>
          <t>CN_WEB_KT</t>
        </is>
      </c>
      <c r="L15" s="14">
        <f>VLOOKUP(K15,'Defines the type of function'!$B$6:$C$19,2,FALSE)</f>
        <v/>
      </c>
      <c r="M15" s="14">
        <f>VLOOKUP(K15&amp;$M$7,'DB function'!$D$6:$E$47,2,FALSE)</f>
        <v/>
      </c>
      <c r="N15" s="14">
        <f>VLOOKUP(K15&amp;$N$7,'DB function'!$D$6:$E$47,2,FALSE)</f>
        <v/>
      </c>
      <c r="O15" s="14">
        <f>VLOOKUP(K15&amp;$O$7,'DB function'!$D$6:$E$47,2,FALSE)</f>
        <v/>
      </c>
      <c r="P15" s="14">
        <f>SUM(M15:O15)</f>
        <v/>
      </c>
      <c r="Q15" s="15" t="n">
        <v>0</v>
      </c>
      <c r="R15" s="14">
        <f>P15*Q15</f>
        <v/>
      </c>
      <c r="S15" s="14" t="inlineStr"/>
      <c r="T15" s="14" t="inlineStr"/>
    </row>
    <row r="16">
      <c r="A16" s="13" t="n">
        <v>9</v>
      </c>
      <c r="B16" s="14" t="inlineStr">
        <is>
          <t>Phân hệ 2</t>
        </is>
      </c>
      <c r="C16" s="14" t="inlineStr">
        <is>
          <t>Gatekeeper</t>
        </is>
      </c>
      <c r="D16" s="14" t="inlineStr">
        <is>
          <t>Engine Chốt chặn Transition Gatekeeper</t>
        </is>
      </c>
      <c r="E16" s="14" t="inlineStr">
        <is>
          <t>Xử lý Hard Stop, Soft Warning, Manager Bypass và Lock</t>
        </is>
      </c>
      <c r="F16" s="14">
        <f>M16*(1-Q16)</f>
        <v/>
      </c>
      <c r="G16" s="14">
        <f>N16*(1-Q16)</f>
        <v/>
      </c>
      <c r="H16" s="14">
        <f>O16*(1-Q16)</f>
        <v/>
      </c>
      <c r="I16" s="14">
        <f>SUM(F16:H16)</f>
        <v/>
      </c>
      <c r="K16" s="13" t="inlineStr">
        <is>
          <t>NVJ3-PTM</t>
        </is>
      </c>
      <c r="L16" s="14">
        <f>VLOOKUP(K16,'Defines the type of function'!$B$6:$C$19,2,FALSE)</f>
        <v/>
      </c>
      <c r="M16" s="14">
        <f>VLOOKUP(K16&amp;$M$7,'DB function'!$D$6:$E$47,2,FALSE)</f>
        <v/>
      </c>
      <c r="N16" s="14">
        <f>VLOOKUP(K16&amp;$N$7,'DB function'!$D$6:$E$47,2,FALSE)</f>
        <v/>
      </c>
      <c r="O16" s="14">
        <f>VLOOKUP(K16&amp;$O$7,'DB function'!$D$6:$E$47,2,FALSE)</f>
        <v/>
      </c>
      <c r="P16" s="14">
        <f>SUM(M16:O16)</f>
        <v/>
      </c>
      <c r="Q16" s="15" t="n">
        <v>0</v>
      </c>
      <c r="R16" s="14">
        <f>P16*Q16</f>
        <v/>
      </c>
      <c r="S16" s="14" t="inlineStr"/>
      <c r="T16" s="14" t="inlineStr"/>
    </row>
    <row r="17">
      <c r="A17" s="13" t="n">
        <v>10</v>
      </c>
      <c r="B17" s="14" t="inlineStr">
        <is>
          <t>Phân hệ 2</t>
        </is>
      </c>
      <c r="C17" s="14" t="inlineStr">
        <is>
          <t>Audit Log &amp; Trao đổi</t>
        </is>
      </c>
      <c r="D17" s="14" t="inlineStr">
        <is>
          <t>Giao diện &amp; API Nhật ký Kiểm toán Chuyển bước</t>
        </is>
      </c>
      <c r="E17" s="14" t="inlineStr">
        <is>
          <t>Ghi vết timeline chuyển bước và thảo luận nội bộ</t>
        </is>
      </c>
      <c r="F17" s="14">
        <f>M17*(1-Q17)</f>
        <v/>
      </c>
      <c r="G17" s="14">
        <f>N17*(1-Q17)</f>
        <v/>
      </c>
      <c r="H17" s="14">
        <f>O17*(1-Q17)</f>
        <v/>
      </c>
      <c r="I17" s="14">
        <f>SUM(F17:H17)</f>
        <v/>
      </c>
      <c r="K17" s="13" t="inlineStr">
        <is>
          <t>NVJ1-PTM</t>
        </is>
      </c>
      <c r="L17" s="14">
        <f>VLOOKUP(K17,'Defines the type of function'!$B$6:$C$19,2,FALSE)</f>
        <v/>
      </c>
      <c r="M17" s="14">
        <f>VLOOKUP(K17&amp;$M$7,'DB function'!$D$6:$E$47,2,FALSE)</f>
        <v/>
      </c>
      <c r="N17" s="14">
        <f>VLOOKUP(K17&amp;$N$7,'DB function'!$D$6:$E$47,2,FALSE)</f>
        <v/>
      </c>
      <c r="O17" s="14">
        <f>VLOOKUP(K17&amp;$O$7,'DB function'!$D$6:$E$47,2,FALSE)</f>
        <v/>
      </c>
      <c r="P17" s="14">
        <f>SUM(M17:O17)</f>
        <v/>
      </c>
      <c r="Q17" s="15" t="n">
        <v>0</v>
      </c>
      <c r="R17" s="14">
        <f>P17*Q17</f>
        <v/>
      </c>
      <c r="S17" s="14" t="inlineStr"/>
      <c r="T17" s="14" t="inlineStr"/>
    </row>
    <row r="18">
      <c r="A18" s="13" t="n">
        <v>11</v>
      </c>
      <c r="B18" s="14" t="inlineStr">
        <is>
          <t>Phân hệ 3</t>
        </is>
      </c>
      <c r="C18" s="14" t="inlineStr">
        <is>
          <t>Yêu cầu Báo giá</t>
        </is>
      </c>
      <c r="D18" s="14" t="inlineStr">
        <is>
          <t>Giao diện Lập Yêu cầu Báo giá RFQ</t>
        </is>
      </c>
      <c r="E18" s="14" t="inlineStr">
        <is>
          <t>Biểu mẫu bóc tách danh mục dòng hàng, HS Code, Incoterms</t>
        </is>
      </c>
      <c r="F18" s="14">
        <f>M18*(1-Q18)</f>
        <v/>
      </c>
      <c r="G18" s="14">
        <f>N18*(1-Q18)</f>
        <v/>
      </c>
      <c r="H18" s="14">
        <f>O18*(1-Q18)</f>
        <v/>
      </c>
      <c r="I18" s="14">
        <f>SUM(F18:H18)</f>
        <v/>
      </c>
      <c r="K18" s="13" t="inlineStr">
        <is>
          <t>GD_WEB3</t>
        </is>
      </c>
      <c r="L18" s="14">
        <f>VLOOKUP(K18,'Defines the type of function'!$B$6:$C$19,2,FALSE)</f>
        <v/>
      </c>
      <c r="M18" s="14">
        <f>VLOOKUP(K18&amp;$M$7,'DB function'!$D$6:$E$47,2,FALSE)</f>
        <v/>
      </c>
      <c r="N18" s="14">
        <f>VLOOKUP(K18&amp;$N$7,'DB function'!$D$6:$E$47,2,FALSE)</f>
        <v/>
      </c>
      <c r="O18" s="14">
        <f>VLOOKUP(K18&amp;$O$7,'DB function'!$D$6:$E$47,2,FALSE)</f>
        <v/>
      </c>
      <c r="P18" s="14">
        <f>SUM(M18:O18)</f>
        <v/>
      </c>
      <c r="Q18" s="15" t="n">
        <v>0</v>
      </c>
      <c r="R18" s="14">
        <f>P18*Q18</f>
        <v/>
      </c>
      <c r="S18" s="14" t="inlineStr"/>
      <c r="T18" s="14" t="inlineStr"/>
    </row>
    <row r="19">
      <c r="A19" s="13" t="n">
        <v>12</v>
      </c>
      <c r="B19" s="14" t="inlineStr">
        <is>
          <t>Phân hệ 3</t>
        </is>
      </c>
      <c r="C19" s="14" t="inlineStr">
        <is>
          <t>Yêu cầu Báo giá</t>
        </is>
      </c>
      <c r="D19" s="14" t="inlineStr">
        <is>
          <t>API Quản lý RFQ &amp; Bóc tách Dòng hàng</t>
        </is>
      </c>
      <c r="E19" s="14" t="inlineStr">
        <is>
          <t>Lưu trữ RFQ, line items và tự động sinh Magic Link</t>
        </is>
      </c>
      <c r="F19" s="14">
        <f>M19*(1-Q19)</f>
        <v/>
      </c>
      <c r="G19" s="14">
        <f>N19*(1-Q19)</f>
        <v/>
      </c>
      <c r="H19" s="14">
        <f>O19*(1-Q19)</f>
        <v/>
      </c>
      <c r="I19" s="14">
        <f>SUM(F19:H19)</f>
        <v/>
      </c>
      <c r="K19" s="13" t="inlineStr">
        <is>
          <t>NVJ2-PTM</t>
        </is>
      </c>
      <c r="L19" s="14">
        <f>VLOOKUP(K19,'Defines the type of function'!$B$6:$C$19,2,FALSE)</f>
        <v/>
      </c>
      <c r="M19" s="14">
        <f>VLOOKUP(K19&amp;$M$7,'DB function'!$D$6:$E$47,2,FALSE)</f>
        <v/>
      </c>
      <c r="N19" s="14">
        <f>VLOOKUP(K19&amp;$N$7,'DB function'!$D$6:$E$47,2,FALSE)</f>
        <v/>
      </c>
      <c r="O19" s="14">
        <f>VLOOKUP(K19&amp;$O$7,'DB function'!$D$6:$E$47,2,FALSE)</f>
        <v/>
      </c>
      <c r="P19" s="14">
        <f>SUM(M19:O19)</f>
        <v/>
      </c>
      <c r="Q19" s="15" t="n">
        <v>0</v>
      </c>
      <c r="R19" s="14">
        <f>P19*Q19</f>
        <v/>
      </c>
      <c r="S19" s="14" t="inlineStr"/>
      <c r="T19" s="14" t="inlineStr"/>
    </row>
    <row r="20">
      <c r="A20" s="13" t="n">
        <v>13</v>
      </c>
      <c r="B20" s="14" t="inlineStr">
        <is>
          <t>Phân hệ 3</t>
        </is>
      </c>
      <c r="C20" s="14" t="inlineStr">
        <is>
          <t>Cổng Magic Link</t>
        </is>
      </c>
      <c r="D20" s="14" t="inlineStr">
        <is>
          <t>Cổng Web Đối tác Nộp Báo giá Không Đăng nhập</t>
        </is>
      </c>
      <c r="E20" s="14" t="inlineStr">
        <is>
          <t>Giao diện Web Mobile nhập PIN 4 số, điền đơn giá và upload catalog</t>
        </is>
      </c>
      <c r="F20" s="14">
        <f>M20*(1-Q20)</f>
        <v/>
      </c>
      <c r="G20" s="14">
        <f>N20*(1-Q20)</f>
        <v/>
      </c>
      <c r="H20" s="14">
        <f>O20*(1-Q20)</f>
        <v/>
      </c>
      <c r="I20" s="14">
        <f>SUM(F20:H20)</f>
        <v/>
      </c>
      <c r="K20" s="13" t="inlineStr">
        <is>
          <t>GD_WEB2</t>
        </is>
      </c>
      <c r="L20" s="14">
        <f>VLOOKUP(K20,'Defines the type of function'!$B$6:$C$19,2,FALSE)</f>
        <v/>
      </c>
      <c r="M20" s="14">
        <f>VLOOKUP(K20&amp;$M$7,'DB function'!$D$6:$E$47,2,FALSE)</f>
        <v/>
      </c>
      <c r="N20" s="14">
        <f>VLOOKUP(K20&amp;$N$7,'DB function'!$D$6:$E$47,2,FALSE)</f>
        <v/>
      </c>
      <c r="O20" s="14">
        <f>VLOOKUP(K20&amp;$O$7,'DB function'!$D$6:$E$47,2,FALSE)</f>
        <v/>
      </c>
      <c r="P20" s="14">
        <f>SUM(M20:O20)</f>
        <v/>
      </c>
      <c r="Q20" s="15" t="n">
        <v>0</v>
      </c>
      <c r="R20" s="14">
        <f>P20*Q20</f>
        <v/>
      </c>
      <c r="S20" s="14" t="inlineStr"/>
      <c r="T20" s="14" t="inlineStr"/>
    </row>
    <row r="21">
      <c r="A21" s="13" t="n">
        <v>14</v>
      </c>
      <c r="B21" s="14" t="inlineStr">
        <is>
          <t>Phân hệ 3</t>
        </is>
      </c>
      <c r="C21" s="14" t="inlineStr">
        <is>
          <t>Cổng Magic Link</t>
        </is>
      </c>
      <c r="D21" s="14" t="inlineStr">
        <is>
          <t>Engine Cấp phát &amp; Xác thực Magic Link Token</t>
        </is>
      </c>
      <c r="E21" s="14" t="inlineStr">
        <is>
          <t>Sinh JWT Token có chữ ký bảo mật, chống lặp nộp báo giá</t>
        </is>
      </c>
      <c r="F21" s="14">
        <f>M21*(1-Q21)</f>
        <v/>
      </c>
      <c r="G21" s="14">
        <f>N21*(1-Q21)</f>
        <v/>
      </c>
      <c r="H21" s="14">
        <f>O21*(1-Q21)</f>
        <v/>
      </c>
      <c r="I21" s="14">
        <f>SUM(F21:H21)</f>
        <v/>
      </c>
      <c r="K21" s="13" t="inlineStr">
        <is>
          <t>NVJ2-PTM</t>
        </is>
      </c>
      <c r="L21" s="14">
        <f>VLOOKUP(K21,'Defines the type of function'!$B$6:$C$19,2,FALSE)</f>
        <v/>
      </c>
      <c r="M21" s="14">
        <f>VLOOKUP(K21&amp;$M$7,'DB function'!$D$6:$E$47,2,FALSE)</f>
        <v/>
      </c>
      <c r="N21" s="14">
        <f>VLOOKUP(K21&amp;$N$7,'DB function'!$D$6:$E$47,2,FALSE)</f>
        <v/>
      </c>
      <c r="O21" s="14">
        <f>VLOOKUP(K21&amp;$O$7,'DB function'!$D$6:$E$47,2,FALSE)</f>
        <v/>
      </c>
      <c r="P21" s="14">
        <f>SUM(M21:O21)</f>
        <v/>
      </c>
      <c r="Q21" s="15" t="n">
        <v>0</v>
      </c>
      <c r="R21" s="14">
        <f>P21*Q21</f>
        <v/>
      </c>
      <c r="S21" s="14" t="inlineStr"/>
      <c r="T21" s="14" t="inlineStr"/>
    </row>
    <row r="22">
      <c r="A22" s="13" t="n">
        <v>15</v>
      </c>
      <c r="B22" s="14" t="inlineStr">
        <is>
          <t>Phân hệ 3</t>
        </is>
      </c>
      <c r="C22" s="14" t="inlineStr">
        <is>
          <t>So sánh Báo giá</t>
        </is>
      </c>
      <c r="D22" s="14" t="inlineStr">
        <is>
          <t>Bảng Ma Trận So Sánh Báo Giá Đa Ngoại Tệ</t>
        </is>
      </c>
      <c r="E22" s="14" t="inlineStr">
        <is>
          <t>Giao diện lưới ma trận, quy đổi ngoại tệ về tiền tệ cơ sở</t>
        </is>
      </c>
      <c r="F22" s="14">
        <f>M22*(1-Q22)</f>
        <v/>
      </c>
      <c r="G22" s="14">
        <f>N22*(1-Q22)</f>
        <v/>
      </c>
      <c r="H22" s="14">
        <f>O22*(1-Q22)</f>
        <v/>
      </c>
      <c r="I22" s="14">
        <f>SUM(F22:H22)</f>
        <v/>
      </c>
      <c r="K22" s="13" t="inlineStr">
        <is>
          <t>GD_WEB3</t>
        </is>
      </c>
      <c r="L22" s="14">
        <f>VLOOKUP(K22,'Defines the type of function'!$B$6:$C$19,2,FALSE)</f>
        <v/>
      </c>
      <c r="M22" s="14">
        <f>VLOOKUP(K22&amp;$M$7,'DB function'!$D$6:$E$47,2,FALSE)</f>
        <v/>
      </c>
      <c r="N22" s="14">
        <f>VLOOKUP(K22&amp;$N$7,'DB function'!$D$6:$E$47,2,FALSE)</f>
        <v/>
      </c>
      <c r="O22" s="14">
        <f>VLOOKUP(K22&amp;$O$7,'DB function'!$D$6:$E$47,2,FALSE)</f>
        <v/>
      </c>
      <c r="P22" s="14">
        <f>SUM(M22:O22)</f>
        <v/>
      </c>
      <c r="Q22" s="15" t="n">
        <v>0</v>
      </c>
      <c r="R22" s="14">
        <f>P22*Q22</f>
        <v/>
      </c>
      <c r="S22" s="14" t="inlineStr"/>
      <c r="T22" s="14" t="inlineStr"/>
    </row>
    <row r="23">
      <c r="A23" s="13" t="n">
        <v>16</v>
      </c>
      <c r="B23" s="14" t="inlineStr">
        <is>
          <t>Phân hệ 3</t>
        </is>
      </c>
      <c r="C23" s="14" t="inlineStr">
        <is>
          <t>So sánh Báo giá</t>
        </is>
      </c>
      <c r="D23" s="14" t="inlineStr">
        <is>
          <t>API Ma Trận Quy Đổi Tỷ Giá &amp; Phê Duyệt Giá Vốn</t>
        </is>
      </c>
      <c r="E23" s="14" t="inlineStr">
        <is>
          <t>Tính toán giá rẻ nhất từng dòng và phê duyệt chọn Vendor</t>
        </is>
      </c>
      <c r="F23" s="14">
        <f>M23*(1-Q23)</f>
        <v/>
      </c>
      <c r="G23" s="14">
        <f>N23*(1-Q23)</f>
        <v/>
      </c>
      <c r="H23" s="14">
        <f>O23*(1-Q23)</f>
        <v/>
      </c>
      <c r="I23" s="14">
        <f>SUM(F23:H23)</f>
        <v/>
      </c>
      <c r="K23" s="13" t="inlineStr">
        <is>
          <t>NVJ3-PTM</t>
        </is>
      </c>
      <c r="L23" s="14">
        <f>VLOOKUP(K23,'Defines the type of function'!$B$6:$C$19,2,FALSE)</f>
        <v/>
      </c>
      <c r="M23" s="14">
        <f>VLOOKUP(K23&amp;$M$7,'DB function'!$D$6:$E$47,2,FALSE)</f>
        <v/>
      </c>
      <c r="N23" s="14">
        <f>VLOOKUP(K23&amp;$N$7,'DB function'!$D$6:$E$47,2,FALSE)</f>
        <v/>
      </c>
      <c r="O23" s="14">
        <f>VLOOKUP(K23&amp;$O$7,'DB function'!$D$6:$E$47,2,FALSE)</f>
        <v/>
      </c>
      <c r="P23" s="14">
        <f>SUM(M23:O23)</f>
        <v/>
      </c>
      <c r="Q23" s="15" t="n">
        <v>0</v>
      </c>
      <c r="R23" s="14">
        <f>P23*Q23</f>
        <v/>
      </c>
      <c r="S23" s="14" t="inlineStr"/>
      <c r="T23" s="14" t="inlineStr"/>
    </row>
    <row r="24">
      <c r="A24" s="13" t="n">
        <v>17</v>
      </c>
      <c r="B24" s="14" t="inlineStr">
        <is>
          <t>Phân hệ 4</t>
        </is>
      </c>
      <c r="C24" s="14" t="inlineStr">
        <is>
          <t>Công việc Vi mô</t>
        </is>
      </c>
      <c r="D24" s="14" t="inlineStr">
        <is>
          <t>Engine Tự động Sinh Task theo Bước</t>
        </is>
      </c>
      <c r="E24" s="14" t="inlineStr">
        <is>
          <t>Tự động kích hoạt sinh task phân công cho nhân sự theo SLA</t>
        </is>
      </c>
      <c r="F24" s="14">
        <f>M24*(1-Q24)</f>
        <v/>
      </c>
      <c r="G24" s="14">
        <f>N24*(1-Q24)</f>
        <v/>
      </c>
      <c r="H24" s="14">
        <f>O24*(1-Q24)</f>
        <v/>
      </c>
      <c r="I24" s="14">
        <f>SUM(F24:H24)</f>
        <v/>
      </c>
      <c r="K24" s="13" t="inlineStr">
        <is>
          <t>NVJ2-PTM</t>
        </is>
      </c>
      <c r="L24" s="14">
        <f>VLOOKUP(K24,'Defines the type of function'!$B$6:$C$19,2,FALSE)</f>
        <v/>
      </c>
      <c r="M24" s="14">
        <f>VLOOKUP(K24&amp;$M$7,'DB function'!$D$6:$E$47,2,FALSE)</f>
        <v/>
      </c>
      <c r="N24" s="14">
        <f>VLOOKUP(K24&amp;$N$7,'DB function'!$D$6:$E$47,2,FALSE)</f>
        <v/>
      </c>
      <c r="O24" s="14">
        <f>VLOOKUP(K24&amp;$O$7,'DB function'!$D$6:$E$47,2,FALSE)</f>
        <v/>
      </c>
      <c r="P24" s="14">
        <f>SUM(M24:O24)</f>
        <v/>
      </c>
      <c r="Q24" s="15" t="n">
        <v>0</v>
      </c>
      <c r="R24" s="14">
        <f>P24*Q24</f>
        <v/>
      </c>
      <c r="S24" s="14" t="inlineStr"/>
      <c r="T24" s="14" t="inlineStr"/>
    </row>
    <row r="25">
      <c r="A25" s="13" t="n">
        <v>18</v>
      </c>
      <c r="B25" s="14" t="inlineStr">
        <is>
          <t>Phân hệ 4</t>
        </is>
      </c>
      <c r="C25" s="14" t="inlineStr">
        <is>
          <t>Công việc Vi mô</t>
        </is>
      </c>
      <c r="D25" s="14" t="inlineStr">
        <is>
          <t>Bảng Theo dõi Task &amp; Hạn định SLA</t>
        </is>
      </c>
      <c r="E25" s="14" t="inlineStr">
        <is>
          <t>Màn hình danh sách công việc cá nhân, cập nhật hoàn thành</t>
        </is>
      </c>
      <c r="F25" s="14">
        <f>M25*(1-Q25)</f>
        <v/>
      </c>
      <c r="G25" s="14">
        <f>N25*(1-Q25)</f>
        <v/>
      </c>
      <c r="H25" s="14">
        <f>O25*(1-Q25)</f>
        <v/>
      </c>
      <c r="I25" s="14">
        <f>SUM(F25:H25)</f>
        <v/>
      </c>
      <c r="K25" s="13" t="inlineStr">
        <is>
          <t>GD_WEB2</t>
        </is>
      </c>
      <c r="L25" s="14">
        <f>VLOOKUP(K25,'Defines the type of function'!$B$6:$C$19,2,FALSE)</f>
        <v/>
      </c>
      <c r="M25" s="14">
        <f>VLOOKUP(K25&amp;$M$7,'DB function'!$D$6:$E$47,2,FALSE)</f>
        <v/>
      </c>
      <c r="N25" s="14">
        <f>VLOOKUP(K25&amp;$N$7,'DB function'!$D$6:$E$47,2,FALSE)</f>
        <v/>
      </c>
      <c r="O25" s="14">
        <f>VLOOKUP(K25&amp;$O$7,'DB function'!$D$6:$E$47,2,FALSE)</f>
        <v/>
      </c>
      <c r="P25" s="14">
        <f>SUM(M25:O25)</f>
        <v/>
      </c>
      <c r="Q25" s="15" t="n">
        <v>0</v>
      </c>
      <c r="R25" s="14">
        <f>P25*Q25</f>
        <v/>
      </c>
      <c r="S25" s="14" t="inlineStr"/>
      <c r="T25" s="14" t="inlineStr"/>
    </row>
    <row r="26">
      <c r="A26" s="13" t="n">
        <v>19</v>
      </c>
      <c r="B26" s="14" t="inlineStr">
        <is>
          <t>Phân hệ 4</t>
        </is>
      </c>
      <c r="C26" s="14" t="inlineStr">
        <is>
          <t>Hồ sơ Dự thầu</t>
        </is>
      </c>
      <c r="D26" s="14" t="inlineStr">
        <is>
          <t>Giao diện &amp; Dịch vụ Đóng gói Hồ sơ Thầu ZIP</t>
        </is>
      </c>
      <c r="E26" s="14" t="inlineStr">
        <is>
          <t>Chọn lọc tài liệu hợp lệ, ghép nối PDF/ZIP có mục lục tự động</t>
        </is>
      </c>
      <c r="F26" s="14">
        <f>M26*(1-Q26)</f>
        <v/>
      </c>
      <c r="G26" s="14">
        <f>N26*(1-Q26)</f>
        <v/>
      </c>
      <c r="H26" s="14">
        <f>O26*(1-Q26)</f>
        <v/>
      </c>
      <c r="I26" s="14">
        <f>SUM(F26:H26)</f>
        <v/>
      </c>
      <c r="K26" s="13" t="inlineStr">
        <is>
          <t>NVJ2-PTM</t>
        </is>
      </c>
      <c r="L26" s="14">
        <f>VLOOKUP(K26,'Defines the type of function'!$B$6:$C$19,2,FALSE)</f>
        <v/>
      </c>
      <c r="M26" s="14">
        <f>VLOOKUP(K26&amp;$M$7,'DB function'!$D$6:$E$47,2,FALSE)</f>
        <v/>
      </c>
      <c r="N26" s="14">
        <f>VLOOKUP(K26&amp;$N$7,'DB function'!$D$6:$E$47,2,FALSE)</f>
        <v/>
      </c>
      <c r="O26" s="14">
        <f>VLOOKUP(K26&amp;$O$7,'DB function'!$D$6:$E$47,2,FALSE)</f>
        <v/>
      </c>
      <c r="P26" s="14">
        <f>SUM(M26:O26)</f>
        <v/>
      </c>
      <c r="Q26" s="15" t="n">
        <v>0</v>
      </c>
      <c r="R26" s="14">
        <f>P26*Q26</f>
        <v/>
      </c>
      <c r="S26" s="14" t="inlineStr"/>
      <c r="T26" s="14" t="inlineStr"/>
    </row>
    <row r="27">
      <c r="A27" s="13" t="n">
        <v>20</v>
      </c>
      <c r="B27" s="14" t="inlineStr">
        <is>
          <t>Phân hệ 5</t>
        </is>
      </c>
      <c r="C27" s="14" t="inlineStr">
        <is>
          <t>Vận tải Lô hàng</t>
        </is>
      </c>
      <c r="D27" s="14" t="inlineStr">
        <is>
          <t>Giao diện Quản lý Vận đơn BL &amp; Chi phí</t>
        </is>
      </c>
      <c r="E27" s="14" t="inlineStr">
        <is>
          <t>Theo dõi thông tin lô hàng, hãng tàu, chi phí nâng hạ</t>
        </is>
      </c>
      <c r="F27" s="14">
        <f>M27*(1-Q27)</f>
        <v/>
      </c>
      <c r="G27" s="14">
        <f>N27*(1-Q27)</f>
        <v/>
      </c>
      <c r="H27" s="14">
        <f>O27*(1-Q27)</f>
        <v/>
      </c>
      <c r="I27" s="14">
        <f>SUM(F27:H27)</f>
        <v/>
      </c>
      <c r="K27" s="13" t="inlineStr">
        <is>
          <t>GD_WEB2</t>
        </is>
      </c>
      <c r="L27" s="14">
        <f>VLOOKUP(K27,'Defines the type of function'!$B$6:$C$19,2,FALSE)</f>
        <v/>
      </c>
      <c r="M27" s="14">
        <f>VLOOKUP(K27&amp;$M$7,'DB function'!$D$6:$E$47,2,FALSE)</f>
        <v/>
      </c>
      <c r="N27" s="14">
        <f>VLOOKUP(K27&amp;$N$7,'DB function'!$D$6:$E$47,2,FALSE)</f>
        <v/>
      </c>
      <c r="O27" s="14">
        <f>VLOOKUP(K27&amp;$O$7,'DB function'!$D$6:$E$47,2,FALSE)</f>
        <v/>
      </c>
      <c r="P27" s="14">
        <f>SUM(M27:O27)</f>
        <v/>
      </c>
      <c r="Q27" s="15" t="n">
        <v>0</v>
      </c>
      <c r="R27" s="14">
        <f>P27*Q27</f>
        <v/>
      </c>
      <c r="S27" s="14" t="inlineStr"/>
      <c r="T27" s="14" t="inlineStr"/>
    </row>
    <row r="28">
      <c r="A28" s="13" t="n">
        <v>21</v>
      </c>
      <c r="B28" s="14" t="inlineStr">
        <is>
          <t>Phân hệ 5</t>
        </is>
      </c>
      <c r="C28" s="14" t="inlineStr">
        <is>
          <t>Vận tải Lô hàng</t>
        </is>
      </c>
      <c r="D28" s="14" t="inlineStr">
        <is>
          <t>API Quản lý Lô hàng &amp; Mốc Tiến độ Giao nhận</t>
        </is>
      </c>
      <c r="E28" s="14" t="inlineStr">
        <is>
          <t>Lưu trữ vận đơn và danh sách các mốc ETA/ETD</t>
        </is>
      </c>
      <c r="F28" s="14">
        <f>M28*(1-Q28)</f>
        <v/>
      </c>
      <c r="G28" s="14">
        <f>N28*(1-Q28)</f>
        <v/>
      </c>
      <c r="H28" s="14">
        <f>O28*(1-Q28)</f>
        <v/>
      </c>
      <c r="I28" s="14">
        <f>SUM(F28:H28)</f>
        <v/>
      </c>
      <c r="K28" s="13" t="inlineStr">
        <is>
          <t>NVJ2-PTM</t>
        </is>
      </c>
      <c r="L28" s="14">
        <f>VLOOKUP(K28,'Defines the type of function'!$B$6:$C$19,2,FALSE)</f>
        <v/>
      </c>
      <c r="M28" s="14">
        <f>VLOOKUP(K28&amp;$M$7,'DB function'!$D$6:$E$47,2,FALSE)</f>
        <v/>
      </c>
      <c r="N28" s="14">
        <f>VLOOKUP(K28&amp;$N$7,'DB function'!$D$6:$E$47,2,FALSE)</f>
        <v/>
      </c>
      <c r="O28" s="14">
        <f>VLOOKUP(K28&amp;$O$7,'DB function'!$D$6:$E$47,2,FALSE)</f>
        <v/>
      </c>
      <c r="P28" s="14">
        <f>SUM(M28:O28)</f>
        <v/>
      </c>
      <c r="Q28" s="15" t="n">
        <v>0</v>
      </c>
      <c r="R28" s="14">
        <f>P28*Q28</f>
        <v/>
      </c>
      <c r="S28" s="14" t="inlineStr"/>
      <c r="T28" s="14" t="inlineStr"/>
    </row>
    <row r="29">
      <c r="A29" s="13" t="n">
        <v>22</v>
      </c>
      <c r="B29" s="14" t="inlineStr">
        <is>
          <t>Phân hệ 5</t>
        </is>
      </c>
      <c r="C29" s="14" t="inlineStr">
        <is>
          <t>Cảnh báo Tiến độ</t>
        </is>
      </c>
      <c r="D29" s="14" t="inlineStr">
        <is>
          <t>Tiến trình Chạy Ngầm Quét Mốc 8:00 AM ShedLock</t>
        </is>
      </c>
      <c r="E29" s="14" t="inlineStr">
        <is>
          <t>Batch Job quét hạn giao hàng hằng ngày và gửi cảnh báo đỏ</t>
        </is>
      </c>
      <c r="F29" s="14">
        <f>M29*(1-Q29)</f>
        <v/>
      </c>
      <c r="G29" s="14">
        <f>N29*(1-Q29)</f>
        <v/>
      </c>
      <c r="H29" s="14">
        <f>O29*(1-Q29)</f>
        <v/>
      </c>
      <c r="I29" s="14">
        <f>SUM(F29:H29)</f>
        <v/>
      </c>
      <c r="K29" s="13" t="inlineStr">
        <is>
          <t>DP_AGG2</t>
        </is>
      </c>
      <c r="L29" s="14">
        <f>VLOOKUP(K29,'Defines the type of function'!$B$6:$C$19,2,FALSE)</f>
        <v/>
      </c>
      <c r="M29" s="14">
        <f>VLOOKUP(K29&amp;$M$7,'DB function'!$D$6:$E$47,2,FALSE)</f>
        <v/>
      </c>
      <c r="N29" s="14">
        <f>VLOOKUP(K29&amp;$N$7,'DB function'!$D$6:$E$47,2,FALSE)</f>
        <v/>
      </c>
      <c r="O29" s="14">
        <f>VLOOKUP(K29&amp;$O$7,'DB function'!$D$6:$E$47,2,FALSE)</f>
        <v/>
      </c>
      <c r="P29" s="14">
        <f>SUM(M29:O29)</f>
        <v/>
      </c>
      <c r="Q29" s="15" t="n">
        <v>0</v>
      </c>
      <c r="R29" s="14">
        <f>P29*Q29</f>
        <v/>
      </c>
      <c r="S29" s="14" t="inlineStr"/>
      <c r="T29" s="14" t="inlineStr"/>
    </row>
    <row r="30">
      <c r="A30" s="13" t="n">
        <v>23</v>
      </c>
      <c r="B30" s="14" t="inlineStr">
        <is>
          <t>Phân hệ 5</t>
        </is>
      </c>
      <c r="C30" s="14" t="inlineStr">
        <is>
          <t>Báo cáo BI</t>
        </is>
      </c>
      <c r="D30" s="14" t="inlineStr">
        <is>
          <t>Báo cáo Hiệu suất Thắng/Trượt Thầu (Win/Loss)</t>
        </is>
      </c>
      <c r="E30" s="14" t="inlineStr">
        <is>
          <t>Biểu đồ tròn tỷ lệ trúng thầu và phân tích lý do trượt</t>
        </is>
      </c>
      <c r="F30" s="14">
        <f>M30*(1-Q30)</f>
        <v/>
      </c>
      <c r="G30" s="14">
        <f>N30*(1-Q30)</f>
        <v/>
      </c>
      <c r="H30" s="14">
        <f>O30*(1-Q30)</f>
        <v/>
      </c>
      <c r="I30" s="14">
        <f>SUM(F30:H30)</f>
        <v/>
      </c>
      <c r="K30" s="13" t="inlineStr">
        <is>
          <t>BC2</t>
        </is>
      </c>
      <c r="L30" s="14">
        <f>VLOOKUP(K30,'Defines the type of function'!$B$6:$C$19,2,FALSE)</f>
        <v/>
      </c>
      <c r="M30" s="14">
        <f>VLOOKUP(K30&amp;$M$7,'DB function'!$D$6:$E$47,2,FALSE)</f>
        <v/>
      </c>
      <c r="N30" s="14">
        <f>VLOOKUP(K30&amp;$N$7,'DB function'!$D$6:$E$47,2,FALSE)</f>
        <v/>
      </c>
      <c r="O30" s="14">
        <f>VLOOKUP(K30&amp;$O$7,'DB function'!$D$6:$E$47,2,FALSE)</f>
        <v/>
      </c>
      <c r="P30" s="14">
        <f>SUM(M30:O30)</f>
        <v/>
      </c>
      <c r="Q30" s="15" t="n">
        <v>0</v>
      </c>
      <c r="R30" s="14">
        <f>P30*Q30</f>
        <v/>
      </c>
      <c r="S30" s="14" t="inlineStr"/>
      <c r="T30" s="14" t="inlineStr"/>
    </row>
    <row r="31">
      <c r="A31" s="13" t="n">
        <v>24</v>
      </c>
      <c r="B31" s="14" t="inlineStr">
        <is>
          <t>Phân hệ 5</t>
        </is>
      </c>
      <c r="C31" s="14" t="inlineStr">
        <is>
          <t>Báo cáo BI</t>
        </is>
      </c>
      <c r="D31" s="14" t="inlineStr">
        <is>
          <t>Báo cáo Phân tích Điểm nghẽn Chu trình (Bottleneck)</t>
        </is>
      </c>
      <c r="E31" s="14" t="inlineStr">
        <is>
          <t>Biểu đồ thời gian chu kỳ nằm lại ở từng bước so với SLA</t>
        </is>
      </c>
      <c r="F31" s="14">
        <f>M31*(1-Q31)</f>
        <v/>
      </c>
      <c r="G31" s="14">
        <f>N31*(1-Q31)</f>
        <v/>
      </c>
      <c r="H31" s="14">
        <f>O31*(1-Q31)</f>
        <v/>
      </c>
      <c r="I31" s="14">
        <f>SUM(F31:H31)</f>
        <v/>
      </c>
      <c r="K31" s="13" t="inlineStr">
        <is>
          <t>BC3</t>
        </is>
      </c>
      <c r="L31" s="14">
        <f>VLOOKUP(K31,'Defines the type of function'!$B$6:$C$19,2,FALSE)</f>
        <v/>
      </c>
      <c r="M31" s="14">
        <f>VLOOKUP(K31&amp;$M$7,'DB function'!$D$6:$E$47,2,FALSE)</f>
        <v/>
      </c>
      <c r="N31" s="14">
        <f>VLOOKUP(K31&amp;$N$7,'DB function'!$D$6:$E$47,2,FALSE)</f>
        <v/>
      </c>
      <c r="O31" s="14">
        <f>VLOOKUP(K31&amp;$O$7,'DB function'!$D$6:$E$47,2,FALSE)</f>
        <v/>
      </c>
      <c r="P31" s="14">
        <f>SUM(M31:O31)</f>
        <v/>
      </c>
      <c r="Q31" s="15" t="n">
        <v>0</v>
      </c>
      <c r="R31" s="14">
        <f>P31*Q31</f>
        <v/>
      </c>
      <c r="S31" s="14" t="inlineStr"/>
      <c r="T31" s="14" t="inlineStr"/>
    </row>
    <row r="32">
      <c r="D32" s="16" t="inlineStr">
        <is>
          <t>TỔNG CỘNG NỖ LỰC CHỨC NĂNG (MAN-HOURS):</t>
        </is>
      </c>
      <c r="F32" s="17">
        <f>SUM(F8:F31)</f>
        <v/>
      </c>
      <c r="G32" s="17">
        <f>SUM(G8:G31)</f>
        <v/>
      </c>
      <c r="H32" s="17">
        <f>SUM(H8:H31)</f>
        <v/>
      </c>
      <c r="I32" s="17">
        <f>SUM(I8:I31)</f>
        <v/>
      </c>
      <c r="P32" s="17">
        <f>SUM(P8:P31)</f>
        <v/>
      </c>
      <c r="R32" s="17">
        <f>SUM(R8:R31)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7" customWidth="1" min="4" max="4"/>
    <col width="20" customWidth="1" min="5" max="5"/>
    <col width="22" customWidth="1" min="6" max="6"/>
    <col width="45" customWidth="1" min="7" max="7"/>
  </cols>
  <sheetData>
    <row r="1"/>
    <row r="2">
      <c r="A2" s="9" t="inlineStr">
        <is>
          <t>BẢNG TỔNG HỢP NỖ LỰC DỰ ÁN TOÀN TRÌNH (GENERAL EFFORT)</t>
        </is>
      </c>
    </row>
    <row r="3"/>
    <row r="4">
      <c r="A4" s="6" t="inlineStr">
        <is>
          <t>STT</t>
        </is>
      </c>
      <c r="B4" s="6" t="inlineStr">
        <is>
          <t>Hạng mục công việc / Vai trò</t>
        </is>
      </c>
      <c r="C4" s="6" t="inlineStr">
        <is>
          <t>Tỷ lệ tham chiếu (%)</t>
        </is>
      </c>
      <c r="D4" s="6" t="inlineStr">
        <is>
          <t>Nỗ lực (Man-Hours)</t>
        </is>
      </c>
      <c r="E4" s="6" t="inlineStr">
        <is>
          <t>Nỗ lực (Man-Days)</t>
        </is>
      </c>
      <c r="F4" s="6" t="inlineStr">
        <is>
          <t>Nỗ lực (Man-Months)</t>
        </is>
      </c>
      <c r="G4" s="6" t="inlineStr">
        <is>
          <t>Ghi chú</t>
        </is>
      </c>
    </row>
    <row r="5">
      <c r="A5" s="13" t="n">
        <v>1</v>
      </c>
      <c r="B5" s="7" t="inlineStr">
        <is>
          <t>Nỗ lực Phát triển Chức năng (Functional Effort)</t>
        </is>
      </c>
      <c r="C5" s="13" t="inlineStr">
        <is>
          <t>-</t>
        </is>
      </c>
      <c r="D5" s="7">
        <f>'Functional effort'!I32</f>
        <v/>
      </c>
      <c r="E5" s="8">
        <f>D5/8</f>
        <v/>
      </c>
      <c r="F5" s="8">
        <f>D5/176</f>
        <v/>
      </c>
      <c r="G5" s="8" t="inlineStr">
        <is>
          <t>Nỗ lực cốt lõi theo định mức Viettel</t>
        </is>
      </c>
    </row>
    <row r="6">
      <c r="A6" s="13" t="n">
        <v>2</v>
      </c>
      <c r="B6" s="7" t="inlineStr">
        <is>
          <t>Quản trị Dự án (Project Management - PM)</t>
        </is>
      </c>
      <c r="C6" s="13" t="inlineStr">
        <is>
          <t>10%</t>
        </is>
      </c>
      <c r="D6" s="7">
        <f>D5*0.1</f>
        <v/>
      </c>
      <c r="E6" s="8">
        <f>D6/8</f>
        <v/>
      </c>
      <c r="F6" s="8">
        <f>D6/176</f>
        <v/>
      </c>
      <c r="G6" s="8" t="inlineStr">
        <is>
          <t>Quản lý tiến độ, nguồn lực, họp tuần</t>
        </is>
      </c>
    </row>
    <row r="7">
      <c r="A7" s="13" t="n">
        <v>3</v>
      </c>
      <c r="B7" s="7" t="inlineStr">
        <is>
          <t>Bảo đảm Chất lượng &amp; Kiểm thử UAT (QA/QC)</t>
        </is>
      </c>
      <c r="C7" s="13" t="inlineStr">
        <is>
          <t>15%</t>
        </is>
      </c>
      <c r="D7" s="7">
        <f>D5*0.15</f>
        <v/>
      </c>
      <c r="E7" s="8">
        <f>D7/8</f>
        <v/>
      </c>
      <c r="F7" s="8">
        <f>D7/176</f>
        <v/>
      </c>
      <c r="G7" s="8" t="inlineStr">
        <is>
          <t>Xây dựng kịch bản UAT, giám sát chất lượng</t>
        </is>
      </c>
    </row>
    <row r="8">
      <c r="A8" s="13" t="n">
        <v>4</v>
      </c>
      <c r="B8" s="7" t="inlineStr">
        <is>
          <t>Kỹ sư Kiến trúc &amp; Điều phối (Solution Architect / Tech Lead)</t>
        </is>
      </c>
      <c r="C8" s="13" t="inlineStr">
        <is>
          <t>12%</t>
        </is>
      </c>
      <c r="D8" s="7">
        <f>D5*0.12</f>
        <v/>
      </c>
      <c r="E8" s="8">
        <f>D8/8</f>
        <v/>
      </c>
      <c r="F8" s="8">
        <f>D8/176</f>
        <v/>
      </c>
      <c r="G8" s="8" t="inlineStr">
        <is>
          <t>Thiết kế HLD/LLD, rà soát mã nguồn</t>
        </is>
      </c>
    </row>
    <row r="9">
      <c r="A9" s="13" t="n">
        <v>5</v>
      </c>
      <c r="B9" s="7" t="inlineStr">
        <is>
          <t>Hạ tầng &amp; Đóng gói Triển khai (DevOps / SecOps)</t>
        </is>
      </c>
      <c r="C9" s="13" t="inlineStr">
        <is>
          <t>8%</t>
        </is>
      </c>
      <c r="D9" s="7">
        <f>D5*0.08</f>
        <v/>
      </c>
      <c r="E9" s="8">
        <f>D9/8</f>
        <v/>
      </c>
      <c r="F9" s="8">
        <f>D9/176</f>
        <v/>
      </c>
      <c r="G9" s="8" t="inlineStr">
        <is>
          <t>CI/CD Pipeline, Kubernetes, Giám sát APM</t>
        </is>
      </c>
    </row>
    <row r="10">
      <c r="B10" s="16" t="inlineStr">
        <is>
          <t>TỔNG NỖ LỰC TOÀN TRÌNH DỰ ÁN MIBID:</t>
        </is>
      </c>
      <c r="D10" s="17">
        <f>SUM(D5:D9)</f>
        <v/>
      </c>
      <c r="E10" s="17">
        <f>SUM(E5:E9)</f>
        <v/>
      </c>
      <c r="F10" s="17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2026-09-01T05:04:11Z</dcterms:created>
  <dcterms:modified xmlns:dcterms="http://purl.org/dc/terms/" xmlns:xsi="http://www.w3.org/2001/XMLSchema-instance" xsi:type="dcterms:W3CDTF">2026-09-01T05:04:11Z</dcterms:modified>
</cp:coreProperties>
</file>